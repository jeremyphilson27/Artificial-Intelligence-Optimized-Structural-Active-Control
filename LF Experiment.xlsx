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eremyphilson/Downloads/AI Project/LF Experiment/"/>
    </mc:Choice>
  </mc:AlternateContent>
  <xr:revisionPtr revIDLastSave="0" documentId="13_ncr:1_{7DE475C6-DDCA-F747-A8A9-1B8AC055E1C7}" xr6:coauthVersionLast="47" xr6:coauthVersionMax="47" xr10:uidLastSave="{00000000-0000-0000-0000-000000000000}"/>
  <bookViews>
    <workbookView xWindow="11260" yWindow="2200" windowWidth="27000" windowHeight="14520" xr2:uid="{98C05A7E-B9EA-964B-A414-3FA9A720A088}"/>
  </bookViews>
  <sheets>
    <sheet name="Summary" sheetId="11" r:id="rId1"/>
    <sheet name="EQ1_0,1" sheetId="1" r:id="rId2"/>
    <sheet name="EQ1_0,15" sheetId="3" r:id="rId3"/>
    <sheet name="EQ1_0,2" sheetId="4" r:id="rId4"/>
    <sheet name="EQ1_0,25" sheetId="5" r:id="rId5"/>
    <sheet name="EQ1_0,3" sheetId="6" r:id="rId6"/>
    <sheet name="EQ1_0,35" sheetId="7" r:id="rId7"/>
    <sheet name="EQ1_0,4" sheetId="8" r:id="rId8"/>
    <sheet name="EQ1_0,45" sheetId="9" r:id="rId9"/>
    <sheet name="EQ1_0,5" sheetId="10" r:id="rId10"/>
    <sheet name="EQ1_0,55" sheetId="12" r:id="rId11"/>
    <sheet name="EQ1_0,6" sheetId="13" r:id="rId12"/>
    <sheet name="EQ1_0,65" sheetId="14" r:id="rId13"/>
    <sheet name="EQ1_0,7" sheetId="15" r:id="rId14"/>
    <sheet name="EQ1_0,75" sheetId="16" r:id="rId15"/>
    <sheet name="EQ1_0,8" sheetId="17" r:id="rId16"/>
    <sheet name="EQ1_0,85" sheetId="18" r:id="rId17"/>
    <sheet name="EQ1_0,9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1" l="1"/>
  <c r="B3" i="11" a="1"/>
  <c r="B3" i="11"/>
  <c r="C3" i="11" a="1"/>
  <c r="C3" i="11"/>
  <c r="D3" i="11"/>
  <c r="B4" i="11" a="1"/>
  <c r="B4" i="11"/>
  <c r="C4" i="11" a="1"/>
  <c r="C4" i="11"/>
  <c r="D4" i="11"/>
  <c r="B5" i="11" a="1"/>
  <c r="B5" i="11"/>
  <c r="C5" i="11" a="1"/>
  <c r="C5" i="11"/>
  <c r="D5" i="11"/>
  <c r="B6" i="11" a="1"/>
  <c r="B6" i="11"/>
  <c r="C6" i="11" a="1"/>
  <c r="C6" i="11"/>
  <c r="D6" i="11"/>
  <c r="B7" i="11" a="1"/>
  <c r="B7" i="11"/>
  <c r="C7" i="11" a="1"/>
  <c r="C7" i="11"/>
  <c r="D7" i="11"/>
  <c r="B8" i="11" a="1"/>
  <c r="B8" i="11"/>
  <c r="C8" i="11" a="1"/>
  <c r="C8" i="11"/>
  <c r="D8" i="11"/>
  <c r="B9" i="11" a="1"/>
  <c r="B9" i="11"/>
  <c r="C9" i="11" a="1"/>
  <c r="C9" i="11"/>
  <c r="D9" i="11"/>
  <c r="B10" i="11" a="1"/>
  <c r="B10" i="11"/>
  <c r="C10" i="11" a="1"/>
  <c r="C10" i="11"/>
  <c r="D10" i="11"/>
  <c r="B11" i="11" a="1"/>
  <c r="B11" i="11"/>
  <c r="C11" i="11" a="1"/>
  <c r="C11" i="11"/>
  <c r="D11" i="11"/>
  <c r="B12" i="11" a="1"/>
  <c r="B12" i="11"/>
  <c r="C12" i="11" a="1"/>
  <c r="C12" i="11"/>
  <c r="D12" i="11"/>
  <c r="B13" i="11" a="1"/>
  <c r="B13" i="11"/>
  <c r="C13" i="11" a="1"/>
  <c r="C13" i="11"/>
  <c r="D13" i="11"/>
  <c r="B14" i="11" a="1"/>
  <c r="B14" i="11"/>
  <c r="C14" i="11" a="1"/>
  <c r="C14" i="11"/>
  <c r="D14" i="11"/>
  <c r="B15" i="11" a="1"/>
  <c r="B15" i="11"/>
  <c r="C15" i="11" a="1"/>
  <c r="C15" i="11"/>
  <c r="D15" i="11"/>
  <c r="B16" i="11" a="1"/>
  <c r="B16" i="11"/>
  <c r="C16" i="11" a="1"/>
  <c r="C16" i="11"/>
  <c r="D16" i="11"/>
  <c r="B17" i="11" a="1"/>
  <c r="B17" i="11"/>
  <c r="C17" i="11" a="1"/>
  <c r="C17" i="11"/>
  <c r="D17" i="11"/>
  <c r="B18" i="11" a="1"/>
  <c r="B18" i="11"/>
  <c r="C18" i="11" a="1"/>
  <c r="C18" i="11"/>
  <c r="D18" i="11"/>
  <c r="B11" i="19"/>
  <c r="B11" i="18"/>
  <c r="B11" i="17"/>
  <c r="B11" i="16"/>
  <c r="B11" i="15"/>
  <c r="B11" i="14"/>
  <c r="B11" i="13"/>
  <c r="B11" i="12"/>
  <c r="B11" i="10"/>
  <c r="B11" i="9"/>
  <c r="B11" i="8"/>
  <c r="B11" i="7"/>
  <c r="B11" i="6"/>
  <c r="B11" i="5"/>
  <c r="B11" i="4"/>
  <c r="B11" i="3"/>
  <c r="B11" i="1"/>
  <c r="C19" i="11" a="1"/>
  <c r="C19" i="11" l="1"/>
  <c r="B10" i="19" l="1"/>
  <c r="B10" i="18"/>
  <c r="B10" i="17"/>
  <c r="B10" i="16"/>
  <c r="B10" i="15"/>
  <c r="B10" i="14"/>
  <c r="B10" i="13"/>
  <c r="B10" i="12"/>
  <c r="B10" i="3"/>
  <c r="B10" i="10"/>
  <c r="B10" i="9"/>
  <c r="B10" i="8"/>
  <c r="B10" i="7"/>
  <c r="B10" i="6"/>
  <c r="B10" i="5"/>
  <c r="B10" i="4"/>
  <c r="B10" i="1"/>
  <c r="B19" i="11" a="1"/>
  <c r="B19" i="11" l="1"/>
  <c r="D19" i="11" s="1"/>
  <c r="B23" i="11" l="1"/>
  <c r="B24" i="11"/>
  <c r="E3" i="11" l="1"/>
  <c r="E4" i="11"/>
  <c r="E5" i="11"/>
  <c r="E6" i="11"/>
  <c r="E7" i="11"/>
  <c r="E8" i="11"/>
  <c r="E9" i="11"/>
  <c r="E10" i="11"/>
  <c r="F10" i="11" s="1"/>
  <c r="E11" i="11"/>
  <c r="E12" i="11"/>
  <c r="E13" i="11"/>
  <c r="E14" i="11"/>
  <c r="E15" i="11"/>
  <c r="E16" i="11"/>
  <c r="E17" i="11"/>
  <c r="E18" i="11"/>
  <c r="F18" i="11" s="1"/>
  <c r="E19" i="11"/>
  <c r="F17" i="11" l="1"/>
  <c r="F16" i="11"/>
  <c r="F8" i="11"/>
  <c r="F7" i="11"/>
  <c r="F6" i="11"/>
  <c r="F5" i="11"/>
  <c r="F12" i="11"/>
  <c r="F4" i="11"/>
  <c r="F9" i="11"/>
  <c r="F15" i="11"/>
  <c r="F14" i="11"/>
  <c r="F13" i="11"/>
  <c r="F19" i="11"/>
  <c r="F11" i="11"/>
  <c r="F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<sst xmlns="http://schemas.openxmlformats.org/spreadsheetml/2006/main" count="280" uniqueCount="24">
  <si>
    <t>Hyperparameters</t>
  </si>
  <si>
    <t>Max epoch</t>
  </si>
  <si>
    <t>useRMSEstop</t>
  </si>
  <si>
    <t>targetRMSE</t>
  </si>
  <si>
    <t>lr</t>
  </si>
  <si>
    <t>eps_fd</t>
  </si>
  <si>
    <t>lambdaFF</t>
  </si>
  <si>
    <t xml:space="preserve">stop time </t>
  </si>
  <si>
    <t>Run</t>
  </si>
  <si>
    <t>Kp</t>
  </si>
  <si>
    <t>Ki</t>
  </si>
  <si>
    <t>Kd</t>
  </si>
  <si>
    <t>RMSE Smooth</t>
  </si>
  <si>
    <t>Last Epoch</t>
  </si>
  <si>
    <t>Average Epoch</t>
  </si>
  <si>
    <t>Avg. Epoch</t>
  </si>
  <si>
    <t>LF</t>
  </si>
  <si>
    <t>Std. Deviation</t>
  </si>
  <si>
    <t>Score</t>
  </si>
  <si>
    <t>Normalized</t>
  </si>
  <si>
    <t>Rank</t>
  </si>
  <si>
    <t>max</t>
  </si>
  <si>
    <t>min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</si>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</sst>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#,##0.0000"/>
    <numFmt numFmtId="167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5D42-5BC7-E146-9995-07401ABC0342}">
  <sheetPr codeName="Sheet1"/>
  <dimension ref="A2:F24"/>
  <sheetViews>
    <sheetView tabSelected="1" workbookViewId="0">
      <selection activeCell="A2" sqref="A2:F19"/>
    </sheetView>
  </sheetViews>
  <sheetFormatPr baseColWidth="10" defaultRowHeight="16" x14ac:dyDescent="0.2"/>
  <cols>
    <col min="3" max="3" width="12.33203125" bestFit="1" customWidth="1"/>
  </cols>
  <sheetData>
    <row r="2" spans="1:6" x14ac:dyDescent="0.2">
      <c r="A2" t="s">
        <v>16</v>
      </c>
      <c r="B2" t="s">
        <v>15</v>
      </c>
      <c r="C2" t="s">
        <v>17</v>
      </c>
      <c r="D2" t="s">
        <v>18</v>
      </c>
      <c r="E2" t="s">
        <v>19</v>
      </c>
      <c r="F2" t="s">
        <v>20</v>
      </c>
    </row>
    <row r="3" spans="1:6" x14ac:dyDescent="0.2">
      <c r="A3">
        <f>0.1</f>
        <v>0.1</v>
      </c>
      <c r="B3" s="5" cm="1">
        <f t="array" aca="1" ref="B3" ca="1">INDIRECT("'EQ1_"&amp;A3&amp;"'!B10")</f>
        <v>45.5</v>
      </c>
      <c r="C3" s="5" cm="1">
        <f t="array" aca="1" ref="C3" ca="1">INDIRECT("'EQ1_"&amp;A3&amp;"'!B11")</f>
        <v>7.9197362470111479</v>
      </c>
      <c r="D3" s="5">
        <f ca="1">B3+C3*2</f>
        <v>61.339472494022296</v>
      </c>
      <c r="E3" s="5">
        <f ca="1">($B$23-D3)/($B$23-$B$24)*100</f>
        <v>22.341840987183602</v>
      </c>
      <c r="F3">
        <f ca="1">_xlfn.RANK.EQ(E3,$E$3:$E$19,0)</f>
        <v>15</v>
      </c>
    </row>
    <row r="4" spans="1:6" x14ac:dyDescent="0.2">
      <c r="A4">
        <v>0.15</v>
      </c>
      <c r="B4" s="5" cm="1">
        <f t="array" aca="1" ref="B4" ca="1">INDIRECT("'EQ1_"&amp;A4&amp;"'!B10")</f>
        <v>45</v>
      </c>
      <c r="C4" s="5" cm="1">
        <f t="array" aca="1" ref="C4" ca="1">INDIRECT("'EQ1_"&amp;A4&amp;"'!B11")</f>
        <v>6.4463598686045724</v>
      </c>
      <c r="D4" s="5">
        <f t="shared" ref="D4:D19" ca="1" si="0">B4+C4*2</f>
        <v>57.892719737209148</v>
      </c>
      <c r="E4" s="5">
        <f t="shared" ref="E4:E19" ca="1" si="1">($B$23-D4)/($B$23-$B$24)*100</f>
        <v>47.770183786941104</v>
      </c>
      <c r="F4">
        <f ca="1">_xlfn.RANK.EQ(E4,$E$3:$E$19,0)</f>
        <v>11</v>
      </c>
    </row>
    <row r="5" spans="1:6" x14ac:dyDescent="0.2">
      <c r="A5">
        <v>0.2</v>
      </c>
      <c r="B5" s="5" cm="1">
        <f t="array" aca="1" ref="B5" ca="1">INDIRECT("'EQ1_"&amp;A5&amp;"'!B10")</f>
        <v>44.1</v>
      </c>
      <c r="C5" s="5" cm="1">
        <f t="array" aca="1" ref="C5" ca="1">INDIRECT("'EQ1_"&amp;A5&amp;"'!B11")</f>
        <v>6.1364122706640005</v>
      </c>
      <c r="D5" s="5">
        <f t="shared" ca="1" si="0"/>
        <v>56.372824541328001</v>
      </c>
      <c r="E5" s="5">
        <f t="shared" ca="1" si="1"/>
        <v>58.983177229587859</v>
      </c>
      <c r="F5">
        <f ca="1">_xlfn.RANK.EQ(E5,$E$3:$E$19,0)</f>
        <v>8</v>
      </c>
    </row>
    <row r="6" spans="1:6" x14ac:dyDescent="0.2">
      <c r="A6">
        <v>0.25</v>
      </c>
      <c r="B6" s="5" cm="1">
        <f t="array" aca="1" ref="B6" ca="1">INDIRECT("'EQ1_"&amp;A6&amp;"'!B10")</f>
        <v>47</v>
      </c>
      <c r="C6" s="5" cm="1">
        <f t="array" aca="1" ref="C6" ca="1">INDIRECT("'EQ1_"&amp;A6&amp;"'!B11")</f>
        <v>4.737556801183965</v>
      </c>
      <c r="D6" s="5">
        <f t="shared" ca="1" si="0"/>
        <v>56.475113602367927</v>
      </c>
      <c r="E6" s="5">
        <f t="shared" ca="1" si="1"/>
        <v>58.228541927230552</v>
      </c>
      <c r="F6">
        <f t="shared" ref="F6:F19" ca="1" si="2">_xlfn.RANK.EQ(E6,$E$3:$E$19,0)</f>
        <v>10</v>
      </c>
    </row>
    <row r="7" spans="1:6" x14ac:dyDescent="0.2">
      <c r="A7">
        <v>0.3</v>
      </c>
      <c r="B7" s="5" cm="1">
        <f t="array" aca="1" ref="B7" ca="1">INDIRECT("'EQ1_"&amp;A7&amp;"'!B10")</f>
        <v>44.6</v>
      </c>
      <c r="C7" s="5" cm="1">
        <f t="array" aca="1" ref="C7" ca="1">INDIRECT("'EQ1_"&amp;A7&amp;"'!B11")</f>
        <v>4.9035134795822275</v>
      </c>
      <c r="D7" s="5">
        <f t="shared" ca="1" si="0"/>
        <v>54.407026959164455</v>
      </c>
      <c r="E7" s="5">
        <f t="shared" ca="1" si="1"/>
        <v>73.485805738517186</v>
      </c>
      <c r="F7">
        <f t="shared" ca="1" si="2"/>
        <v>5</v>
      </c>
    </row>
    <row r="8" spans="1:6" x14ac:dyDescent="0.2">
      <c r="A8">
        <v>0.35</v>
      </c>
      <c r="B8" s="5" cm="1">
        <f t="array" aca="1" ref="B8" ca="1">INDIRECT("'EQ1_"&amp;A8&amp;"'!B10")</f>
        <v>45.3</v>
      </c>
      <c r="C8" s="5" cm="1">
        <f t="array" aca="1" ref="C8" ca="1">INDIRECT("'EQ1_"&amp;A8&amp;"'!B11")</f>
        <v>7.93095202355933</v>
      </c>
      <c r="D8" s="5">
        <f t="shared" ca="1" si="0"/>
        <v>61.161904047118654</v>
      </c>
      <c r="E8" s="5">
        <f t="shared" ca="1" si="1"/>
        <v>23.651848306206144</v>
      </c>
      <c r="F8">
        <f t="shared" ca="1" si="2"/>
        <v>14</v>
      </c>
    </row>
    <row r="9" spans="1:6" x14ac:dyDescent="0.2">
      <c r="A9">
        <v>0.4</v>
      </c>
      <c r="B9" s="5" cm="1">
        <f t="array" aca="1" ref="B9" ca="1">INDIRECT("'EQ1_"&amp;A9&amp;"'!B10")</f>
        <v>41.2</v>
      </c>
      <c r="C9" s="5" cm="1">
        <f t="array" aca="1" ref="C9" ca="1">INDIRECT("'EQ1_"&amp;A9&amp;"'!B11")</f>
        <v>5.5537774932422597</v>
      </c>
      <c r="D9" s="5">
        <f t="shared" ca="1" si="0"/>
        <v>52.307554986484519</v>
      </c>
      <c r="E9" s="5">
        <f t="shared" ca="1" si="1"/>
        <v>88.974614129041001</v>
      </c>
      <c r="F9">
        <f t="shared" ca="1" si="2"/>
        <v>3</v>
      </c>
    </row>
    <row r="10" spans="1:6" x14ac:dyDescent="0.2">
      <c r="A10">
        <v>0.45</v>
      </c>
      <c r="B10" s="5" cm="1">
        <f t="array" aca="1" ref="B10" ca="1">INDIRECT("'EQ1_"&amp;A10&amp;"'!B10")</f>
        <v>45.7</v>
      </c>
      <c r="C10" s="5" cm="1">
        <f t="array" aca="1" ref="C10" ca="1">INDIRECT("'EQ1_"&amp;A10&amp;"'!B11")</f>
        <v>9.3339285524489668</v>
      </c>
      <c r="D10" s="5">
        <f t="shared" ca="1" si="0"/>
        <v>64.367857104897936</v>
      </c>
      <c r="E10" s="5">
        <f t="shared" ca="1" si="1"/>
        <v>0</v>
      </c>
      <c r="F10">
        <f t="shared" ca="1" si="2"/>
        <v>17</v>
      </c>
    </row>
    <row r="11" spans="1:6" x14ac:dyDescent="0.2">
      <c r="A11">
        <v>0.5</v>
      </c>
      <c r="B11" s="5" cm="1">
        <f t="array" aca="1" ref="B11" ca="1">INDIRECT("'EQ1_"&amp;A11&amp;"'!B10")</f>
        <v>43.3</v>
      </c>
      <c r="C11" s="5" cm="1">
        <f t="array" aca="1" ref="C11" ca="1">INDIRECT("'EQ1_"&amp;A11&amp;"'!B11")</f>
        <v>4.2700507413066342</v>
      </c>
      <c r="D11" s="5">
        <f t="shared" ca="1" si="0"/>
        <v>51.840101482613264</v>
      </c>
      <c r="E11" s="5">
        <f t="shared" ca="1" si="1"/>
        <v>92.42324209224202</v>
      </c>
      <c r="F11">
        <f t="shared" ca="1" si="2"/>
        <v>2</v>
      </c>
    </row>
    <row r="12" spans="1:6" x14ac:dyDescent="0.2">
      <c r="A12">
        <v>0.55000000000000004</v>
      </c>
      <c r="B12" s="5" cm="1">
        <f t="array" aca="1" ref="B12" ca="1">INDIRECT("'EQ1_"&amp;A12&amp;"'!B10")</f>
        <v>50.4</v>
      </c>
      <c r="C12" s="5" cm="1">
        <f t="array" aca="1" ref="C12" ca="1">INDIRECT("'EQ1_"&amp;A12&amp;"'!B11")</f>
        <v>6.3456021516217698</v>
      </c>
      <c r="D12" s="5">
        <f t="shared" ca="1" si="0"/>
        <v>63.091204303243536</v>
      </c>
      <c r="E12" s="5">
        <f t="shared" ca="1" si="1"/>
        <v>9.4184780189322943</v>
      </c>
      <c r="F12">
        <f t="shared" ca="1" si="2"/>
        <v>16</v>
      </c>
    </row>
    <row r="13" spans="1:6" x14ac:dyDescent="0.2">
      <c r="A13">
        <v>0.6</v>
      </c>
      <c r="B13" s="5" cm="1">
        <f t="array" aca="1" ref="B13" ca="1">INDIRECT("'EQ1_"&amp;A13&amp;"'!B10")</f>
        <v>42.6</v>
      </c>
      <c r="C13" s="5" cm="1">
        <f t="array" aca="1" ref="C13" ca="1">INDIRECT("'EQ1_"&amp;A13&amp;"'!B11")</f>
        <v>6.0589694760009536</v>
      </c>
      <c r="D13" s="5">
        <f t="shared" ca="1" si="0"/>
        <v>54.717938952001909</v>
      </c>
      <c r="E13" s="5">
        <f t="shared" ca="1" si="1"/>
        <v>71.192059336545384</v>
      </c>
      <c r="F13">
        <f t="shared" ca="1" si="2"/>
        <v>6</v>
      </c>
    </row>
    <row r="14" spans="1:6" x14ac:dyDescent="0.2">
      <c r="A14">
        <v>0.65</v>
      </c>
      <c r="B14" s="5" cm="1">
        <f t="array" aca="1" ref="B14" ca="1">INDIRECT("'EQ1_"&amp;A14&amp;"'!B10")</f>
        <v>43.1</v>
      </c>
      <c r="C14" s="5" cm="1">
        <f t="array" aca="1" ref="C14" ca="1">INDIRECT("'EQ1_"&amp;A14&amp;"'!B11")</f>
        <v>7.5638026885364527</v>
      </c>
      <c r="D14" s="5">
        <f t="shared" ca="1" si="0"/>
        <v>58.227605377072905</v>
      </c>
      <c r="E14" s="5">
        <f t="shared" ca="1" si="1"/>
        <v>45.299572330305843</v>
      </c>
      <c r="F14">
        <f t="shared" ca="1" si="2"/>
        <v>12</v>
      </c>
    </row>
    <row r="15" spans="1:6" x14ac:dyDescent="0.2">
      <c r="A15">
        <v>0.7</v>
      </c>
      <c r="B15" s="5" cm="1">
        <f t="array" aca="1" ref="B15" ca="1">INDIRECT("'EQ1_"&amp;A15&amp;"'!B10")</f>
        <v>43.6</v>
      </c>
      <c r="C15" s="5" cm="1">
        <f t="array" aca="1" ref="C15" ca="1">INDIRECT("'EQ1_"&amp;A15&amp;"'!B11")</f>
        <v>8.5660829891951167</v>
      </c>
      <c r="D15" s="5">
        <f t="shared" ca="1" si="0"/>
        <v>60.732165978390235</v>
      </c>
      <c r="E15" s="5">
        <f t="shared" ca="1" si="1"/>
        <v>26.822231474575766</v>
      </c>
      <c r="F15">
        <f t="shared" ca="1" si="2"/>
        <v>13</v>
      </c>
    </row>
    <row r="16" spans="1:6" x14ac:dyDescent="0.2">
      <c r="A16">
        <v>0.75</v>
      </c>
      <c r="B16" s="5" cm="1">
        <f t="array" aca="1" ref="B16" ca="1">INDIRECT("'EQ1_"&amp;A16&amp;"'!B10")</f>
        <v>47.6</v>
      </c>
      <c r="C16" s="5" cm="1">
        <f t="array" aca="1" ref="C16" ca="1">INDIRECT("'EQ1_"&amp;A16&amp;"'!B11")</f>
        <v>4.4020197384584474</v>
      </c>
      <c r="D16" s="5">
        <f t="shared" ca="1" si="0"/>
        <v>56.404039476916893</v>
      </c>
      <c r="E16" s="5">
        <f t="shared" ca="1" si="1"/>
        <v>58.752889727515736</v>
      </c>
      <c r="F16">
        <f t="shared" ca="1" si="2"/>
        <v>9</v>
      </c>
    </row>
    <row r="17" spans="1:6" x14ac:dyDescent="0.2">
      <c r="A17">
        <v>0.8</v>
      </c>
      <c r="B17" s="5" cm="1">
        <f t="array" aca="1" ref="B17" ca="1">INDIRECT("'EQ1_"&amp;A17&amp;"'!B10")</f>
        <v>42.6</v>
      </c>
      <c r="C17" s="5" cm="1">
        <f t="array" aca="1" ref="C17" ca="1">INDIRECT("'EQ1_"&amp;A17&amp;"'!B11")</f>
        <v>6.0589694760009536</v>
      </c>
      <c r="D17" s="5">
        <f t="shared" ca="1" si="0"/>
        <v>54.717938952001909</v>
      </c>
      <c r="E17" s="5">
        <f t="shared" ca="1" si="1"/>
        <v>71.192059336545384</v>
      </c>
      <c r="F17">
        <f t="shared" ca="1" si="2"/>
        <v>6</v>
      </c>
    </row>
    <row r="18" spans="1:6" x14ac:dyDescent="0.2">
      <c r="A18">
        <v>0.85</v>
      </c>
      <c r="B18" s="5" cm="1">
        <f t="array" aca="1" ref="B18" ca="1">INDIRECT("'EQ1_"&amp;A18&amp;"'!B10")</f>
        <v>42.7</v>
      </c>
      <c r="C18" s="5" cm="1">
        <f t="array" aca="1" ref="C18" ca="1">INDIRECT("'EQ1_"&amp;A18&amp;"'!B11")</f>
        <v>4.0565447804203467</v>
      </c>
      <c r="D18" s="5">
        <f t="shared" ca="1" si="0"/>
        <v>50.813089560840695</v>
      </c>
      <c r="E18" s="5">
        <f t="shared" ca="1" si="1"/>
        <v>100</v>
      </c>
      <c r="F18">
        <f t="shared" ca="1" si="2"/>
        <v>1</v>
      </c>
    </row>
    <row r="19" spans="1:6" x14ac:dyDescent="0.2">
      <c r="A19">
        <v>0.9</v>
      </c>
      <c r="B19" s="5" cm="1">
        <f t="array" aca="1" ref="B19" ca="1">INDIRECT("'EQ1_"&amp;A19&amp;"'!B10")</f>
        <v>44.8</v>
      </c>
      <c r="C19" s="5" cm="1">
        <f t="array" aca="1" ref="C19" ca="1">INDIRECT("'EQ1_"&amp;A19&amp;"'!B11")</f>
        <v>4.4919681407794707</v>
      </c>
      <c r="D19" s="5">
        <f t="shared" ca="1" si="0"/>
        <v>53.783936281558937</v>
      </c>
      <c r="E19" s="5">
        <f t="shared" ca="1" si="1"/>
        <v>78.082643534372238</v>
      </c>
      <c r="F19">
        <f t="shared" ca="1" si="2"/>
        <v>4</v>
      </c>
    </row>
    <row r="20" spans="1:6" x14ac:dyDescent="0.2">
      <c r="B20" s="5"/>
      <c r="C20" s="5"/>
      <c r="D20" s="5"/>
      <c r="E20" s="5"/>
    </row>
    <row r="21" spans="1:6" x14ac:dyDescent="0.2">
      <c r="A21" s="6"/>
      <c r="B21" s="5"/>
      <c r="C21" s="5"/>
      <c r="D21" s="5"/>
      <c r="E21" s="5"/>
    </row>
    <row r="23" spans="1:6" x14ac:dyDescent="0.2">
      <c r="A23" t="s">
        <v>21</v>
      </c>
      <c r="B23" s="5">
        <f ca="1">MAX(D3:D19)</f>
        <v>64.367857104897936</v>
      </c>
    </row>
    <row r="24" spans="1:6" x14ac:dyDescent="0.2">
      <c r="A24" t="s">
        <v>22</v>
      </c>
      <c r="B24" s="5">
        <f ca="1">MIN(D3:D19)</f>
        <v>50.813089560840695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CB31-B80B-424A-89AA-E3C82ACF5864}">
  <sheetPr codeName="Sheet2"/>
  <dimension ref="A1:K12"/>
  <sheetViews>
    <sheetView workbookViewId="0">
      <selection activeCell="L20" sqref="L20"/>
    </sheetView>
  </sheetViews>
  <sheetFormatPr baseColWidth="10" defaultRowHeight="16" x14ac:dyDescent="0.2"/>
  <cols>
    <col min="1" max="1" width="17.1640625" customWidth="1"/>
    <col min="7" max="7" width="12.33203125" bestFit="1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41</v>
      </c>
      <c r="G3" s="3">
        <v>9.0948069403179801E-5</v>
      </c>
      <c r="H3" s="2">
        <v>1.04519179199697</v>
      </c>
      <c r="I3" s="2">
        <v>1.0796064474326601</v>
      </c>
      <c r="J3" s="2">
        <v>0.90138402585839905</v>
      </c>
      <c r="K3" s="3"/>
    </row>
    <row r="4" spans="1:11" x14ac:dyDescent="0.2">
      <c r="A4" t="s">
        <v>3</v>
      </c>
      <c r="B4">
        <v>1E-4</v>
      </c>
      <c r="E4">
        <v>2</v>
      </c>
      <c r="F4">
        <v>47</v>
      </c>
      <c r="G4" s="3">
        <v>9.8446449983931802E-5</v>
      </c>
      <c r="H4" s="2">
        <v>1.0400605193954999</v>
      </c>
      <c r="I4" s="2">
        <v>1.0584786121161001</v>
      </c>
      <c r="J4" s="2">
        <v>0.89087953898435701</v>
      </c>
      <c r="K4" s="3"/>
    </row>
    <row r="5" spans="1:11" x14ac:dyDescent="0.2">
      <c r="A5" t="s">
        <v>4</v>
      </c>
      <c r="B5">
        <v>0.9</v>
      </c>
      <c r="E5">
        <v>3</v>
      </c>
      <c r="F5">
        <v>52</v>
      </c>
      <c r="G5" s="3">
        <v>9.8695314598396206E-5</v>
      </c>
      <c r="H5" s="2">
        <v>0.99157057441906804</v>
      </c>
      <c r="I5" s="2">
        <v>1.07789978761983</v>
      </c>
      <c r="J5" s="2">
        <v>0.89075297784285801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33</v>
      </c>
      <c r="G6" s="3">
        <v>9.8996604411811099E-5</v>
      </c>
      <c r="H6" s="2">
        <v>1.03955468905445</v>
      </c>
      <c r="I6" s="2">
        <v>1.07017020187459</v>
      </c>
      <c r="J6" s="2">
        <v>0.897413136116607</v>
      </c>
      <c r="K6" s="3"/>
    </row>
    <row r="7" spans="1:11" x14ac:dyDescent="0.2">
      <c r="A7" t="s">
        <v>6</v>
      </c>
      <c r="B7">
        <v>0.1</v>
      </c>
      <c r="E7">
        <v>5</v>
      </c>
      <c r="F7">
        <v>37</v>
      </c>
      <c r="G7" s="3">
        <v>9.7331136377595706E-5</v>
      </c>
      <c r="H7" s="2">
        <v>1.01703938700069</v>
      </c>
      <c r="I7" s="2">
        <v>1.06147359136801</v>
      </c>
      <c r="J7" s="2">
        <v>0.88444878425684303</v>
      </c>
      <c r="K7" s="3"/>
    </row>
    <row r="8" spans="1:11" x14ac:dyDescent="0.2">
      <c r="A8" t="s">
        <v>7</v>
      </c>
      <c r="B8">
        <v>100</v>
      </c>
      <c r="E8">
        <v>6</v>
      </c>
      <c r="F8">
        <v>42</v>
      </c>
      <c r="G8" s="3">
        <v>8.6472681338974303E-5</v>
      </c>
      <c r="H8" s="2">
        <v>1.0302307395910799</v>
      </c>
      <c r="I8" s="2">
        <v>1.0733352983840301</v>
      </c>
      <c r="J8" s="2">
        <v>0.89451039063520799</v>
      </c>
      <c r="K8" s="3"/>
    </row>
    <row r="9" spans="1:11" x14ac:dyDescent="0.2">
      <c r="E9">
        <v>7</v>
      </c>
      <c r="F9">
        <v>61</v>
      </c>
      <c r="G9" s="3">
        <v>9.0596698877610499E-5</v>
      </c>
      <c r="H9" s="2">
        <v>1.04301028084319</v>
      </c>
      <c r="I9" s="2">
        <v>1.0713659915236</v>
      </c>
      <c r="J9" s="2">
        <v>0.89654687601041805</v>
      </c>
      <c r="K9" s="3"/>
    </row>
    <row r="10" spans="1:11" x14ac:dyDescent="0.2">
      <c r="A10" t="s">
        <v>14</v>
      </c>
      <c r="B10" s="5">
        <f>AVERAGE(F3:F12)</f>
        <v>45.5</v>
      </c>
      <c r="E10">
        <v>8</v>
      </c>
      <c r="F10">
        <v>49</v>
      </c>
      <c r="G10" s="3">
        <v>9.4296539763043404E-5</v>
      </c>
      <c r="H10" s="2">
        <v>1.03282912232155</v>
      </c>
      <c r="I10" s="2">
        <v>1.0840339678326201</v>
      </c>
      <c r="J10" s="2">
        <v>0.90263091863238498</v>
      </c>
      <c r="K10" s="3"/>
    </row>
    <row r="11" spans="1:11" x14ac:dyDescent="0.2">
      <c r="A11" t="s">
        <v>23</v>
      </c>
      <c r="B11" s="5">
        <f>_xlfn.STDEV.S(F3:F12)</f>
        <v>7.9197362470111479</v>
      </c>
      <c r="E11">
        <v>9</v>
      </c>
      <c r="F11">
        <v>48</v>
      </c>
      <c r="G11" s="3">
        <v>9.4187185525288205E-5</v>
      </c>
      <c r="H11" s="2">
        <v>1.0482389352441699</v>
      </c>
      <c r="I11" s="2">
        <v>1.08066788036892</v>
      </c>
      <c r="J11" s="2">
        <v>0.90315644929800498</v>
      </c>
      <c r="K11" s="3"/>
    </row>
    <row r="12" spans="1:11" x14ac:dyDescent="0.2">
      <c r="E12">
        <v>10</v>
      </c>
      <c r="F12">
        <v>45</v>
      </c>
      <c r="G12" s="3">
        <v>9.7283100607094497E-5</v>
      </c>
      <c r="H12" s="2">
        <v>1.0072155391369699</v>
      </c>
      <c r="I12" s="2">
        <v>1.0822157520257101</v>
      </c>
      <c r="J12" s="2">
        <v>0.89507453332523002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1293-7A90-7D46-909D-F3CEA647E18F}">
  <sheetPr codeName="Sheet3"/>
  <dimension ref="A1:K12"/>
  <sheetViews>
    <sheetView workbookViewId="0">
      <selection activeCell="N14" sqref="N14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43</v>
      </c>
      <c r="G3" s="3">
        <v>9.3316050244863404E-5</v>
      </c>
      <c r="H3" s="2">
        <v>1.0151014204523101</v>
      </c>
      <c r="I3" s="4">
        <v>1.07614295616697</v>
      </c>
      <c r="J3" s="2">
        <v>0.89263126440885099</v>
      </c>
      <c r="K3" s="3"/>
    </row>
    <row r="4" spans="1:11" x14ac:dyDescent="0.2">
      <c r="A4" t="s">
        <v>3</v>
      </c>
      <c r="B4">
        <v>1E-4</v>
      </c>
      <c r="E4">
        <v>2</v>
      </c>
      <c r="F4">
        <v>50</v>
      </c>
      <c r="G4" s="3">
        <v>9.3747787377449897E-5</v>
      </c>
      <c r="H4" s="2">
        <v>1.0214936317935599</v>
      </c>
      <c r="I4" s="4">
        <v>1.07727758725727</v>
      </c>
      <c r="J4" s="2">
        <v>0.89649576213768201</v>
      </c>
      <c r="K4" s="3"/>
    </row>
    <row r="5" spans="1:11" x14ac:dyDescent="0.2">
      <c r="A5" t="s">
        <v>4</v>
      </c>
      <c r="B5">
        <v>0.9</v>
      </c>
      <c r="E5">
        <v>3</v>
      </c>
      <c r="F5">
        <v>43</v>
      </c>
      <c r="G5" s="3">
        <v>9.3027567553069106E-5</v>
      </c>
      <c r="H5" s="2">
        <v>1.03605624877504</v>
      </c>
      <c r="I5" s="4">
        <v>1.0496536857918699</v>
      </c>
      <c r="J5" s="2">
        <v>0.88139440459893004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55</v>
      </c>
      <c r="G6" s="3">
        <v>9.2791684647424203E-5</v>
      </c>
      <c r="H6" s="2">
        <v>1.04721206158779</v>
      </c>
      <c r="I6" s="4">
        <v>1.06747135969733</v>
      </c>
      <c r="J6" s="2">
        <v>0.89615710375285096</v>
      </c>
      <c r="K6" s="3"/>
    </row>
    <row r="7" spans="1:11" x14ac:dyDescent="0.2">
      <c r="A7" t="s">
        <v>6</v>
      </c>
      <c r="B7">
        <v>0.15</v>
      </c>
      <c r="E7">
        <v>5</v>
      </c>
      <c r="F7">
        <v>34</v>
      </c>
      <c r="G7" s="3">
        <v>9.7410308498005005E-5</v>
      </c>
      <c r="H7" s="2">
        <v>1.0390745095318099</v>
      </c>
      <c r="I7" s="4">
        <v>1.08752359524213</v>
      </c>
      <c r="J7" s="2">
        <v>0.90730735257500705</v>
      </c>
      <c r="K7" s="3"/>
    </row>
    <row r="8" spans="1:11" x14ac:dyDescent="0.2">
      <c r="A8" t="s">
        <v>7</v>
      </c>
      <c r="B8">
        <v>100</v>
      </c>
      <c r="E8">
        <v>6</v>
      </c>
      <c r="F8">
        <v>36</v>
      </c>
      <c r="G8" s="3">
        <v>8.8216034309203899E-5</v>
      </c>
      <c r="H8" s="2">
        <v>1.04950234607655</v>
      </c>
      <c r="I8" s="4">
        <v>1.07525715038682</v>
      </c>
      <c r="J8" s="2">
        <v>0.89889096207591701</v>
      </c>
      <c r="K8" s="3"/>
    </row>
    <row r="9" spans="1:11" x14ac:dyDescent="0.2">
      <c r="E9">
        <v>7</v>
      </c>
      <c r="F9">
        <v>46</v>
      </c>
      <c r="G9" s="3">
        <v>9.9090858582730602E-5</v>
      </c>
      <c r="H9" s="2">
        <v>1.03731025357032</v>
      </c>
      <c r="I9" s="4">
        <v>1.0599039050835599</v>
      </c>
      <c r="J9" s="2">
        <v>0.89078034592686794</v>
      </c>
      <c r="K9" s="3"/>
    </row>
    <row r="10" spans="1:11" x14ac:dyDescent="0.2">
      <c r="A10" t="s">
        <v>14</v>
      </c>
      <c r="B10" s="5">
        <f>AVERAGE(F3:F12)</f>
        <v>45</v>
      </c>
      <c r="E10">
        <v>8</v>
      </c>
      <c r="F10">
        <v>46</v>
      </c>
      <c r="G10" s="3">
        <v>9.3869288828618105E-5</v>
      </c>
      <c r="H10" s="2">
        <v>1.0476241389260901</v>
      </c>
      <c r="I10" s="4">
        <v>1.0558385597656801</v>
      </c>
      <c r="J10" s="2">
        <v>0.88808126358513495</v>
      </c>
      <c r="K10" s="3"/>
    </row>
    <row r="11" spans="1:11" x14ac:dyDescent="0.2">
      <c r="A11" t="s">
        <v>23</v>
      </c>
      <c r="B11" s="5">
        <f>_xlfn.STDEV.S(F3:F12)</f>
        <v>6.4463598686045724</v>
      </c>
      <c r="E11">
        <v>9</v>
      </c>
      <c r="F11">
        <v>46</v>
      </c>
      <c r="G11" s="3">
        <v>9.3211716174259395E-5</v>
      </c>
      <c r="H11" s="2">
        <v>1.01168921525964</v>
      </c>
      <c r="I11" s="4">
        <v>1.0815229034745899</v>
      </c>
      <c r="J11" s="2">
        <v>0.895863097160984</v>
      </c>
      <c r="K11" s="3"/>
    </row>
    <row r="12" spans="1:11" x14ac:dyDescent="0.2">
      <c r="E12">
        <v>10</v>
      </c>
      <c r="F12">
        <v>51</v>
      </c>
      <c r="G12" s="3">
        <v>9.5194724141095405E-5</v>
      </c>
      <c r="H12" s="2">
        <v>1.01592792985289</v>
      </c>
      <c r="I12" s="4">
        <v>1.09463516256272</v>
      </c>
      <c r="J12" s="2">
        <v>0.90339056554567598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58E3-6681-FD49-947E-F48B3DA636E1}">
  <sheetPr codeName="Sheet4"/>
  <dimension ref="A1:K12"/>
  <sheetViews>
    <sheetView workbookViewId="0">
      <selection activeCell="L19" sqref="L19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38</v>
      </c>
      <c r="G3" s="3">
        <v>9.3174608118711596E-5</v>
      </c>
      <c r="H3" s="2">
        <v>1.05092901931174</v>
      </c>
      <c r="I3" s="4">
        <v>1.0722228370692599</v>
      </c>
      <c r="J3" s="2">
        <v>0.89768891350172697</v>
      </c>
      <c r="K3" s="3"/>
    </row>
    <row r="4" spans="1:11" x14ac:dyDescent="0.2">
      <c r="A4" t="s">
        <v>3</v>
      </c>
      <c r="B4">
        <v>1E-4</v>
      </c>
      <c r="E4">
        <v>2</v>
      </c>
      <c r="F4">
        <v>54</v>
      </c>
      <c r="G4" s="3">
        <v>9.8050667798364293E-5</v>
      </c>
      <c r="H4" s="2">
        <v>1.0253620354075601</v>
      </c>
      <c r="I4" s="4">
        <v>1.0555685876858001</v>
      </c>
      <c r="J4" s="2">
        <v>0.88671652283897695</v>
      </c>
      <c r="K4" s="3"/>
    </row>
    <row r="5" spans="1:11" x14ac:dyDescent="0.2">
      <c r="A5" t="s">
        <v>4</v>
      </c>
      <c r="B5">
        <v>0.9</v>
      </c>
      <c r="E5">
        <v>3</v>
      </c>
      <c r="F5">
        <v>41</v>
      </c>
      <c r="G5" s="3">
        <v>9.1166108984506194E-5</v>
      </c>
      <c r="H5" s="2">
        <v>1.03184922421966</v>
      </c>
      <c r="I5" s="4">
        <v>1.0405517601412499</v>
      </c>
      <c r="J5" s="2">
        <v>0.87656325382778899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34</v>
      </c>
      <c r="G6" s="3">
        <v>9.97390775176466E-5</v>
      </c>
      <c r="H6" s="2">
        <v>1.02739695846893</v>
      </c>
      <c r="I6" s="4">
        <v>1.09049536504367</v>
      </c>
      <c r="J6" s="2">
        <v>0.90657392286207705</v>
      </c>
      <c r="K6" s="3"/>
    </row>
    <row r="7" spans="1:11" x14ac:dyDescent="0.2">
      <c r="A7" t="s">
        <v>6</v>
      </c>
      <c r="B7">
        <v>0.2</v>
      </c>
      <c r="E7">
        <v>5</v>
      </c>
      <c r="F7">
        <v>44</v>
      </c>
      <c r="G7" s="3">
        <v>9.6822106956271695E-5</v>
      </c>
      <c r="H7" s="2">
        <v>1.0374182407483401</v>
      </c>
      <c r="I7" s="4">
        <v>1.060111207229</v>
      </c>
      <c r="J7" s="2">
        <v>0.88951546602176301</v>
      </c>
      <c r="K7" s="3"/>
    </row>
    <row r="8" spans="1:11" x14ac:dyDescent="0.2">
      <c r="A8" t="s">
        <v>7</v>
      </c>
      <c r="B8">
        <v>100</v>
      </c>
      <c r="E8">
        <v>6</v>
      </c>
      <c r="F8">
        <v>51</v>
      </c>
      <c r="G8" s="3">
        <v>8.5496280913690797E-5</v>
      </c>
      <c r="H8" s="2">
        <v>1.0214733334751001</v>
      </c>
      <c r="I8" s="4">
        <v>1.0797811348047499</v>
      </c>
      <c r="J8" s="2">
        <v>0.89558395114870804</v>
      </c>
      <c r="K8" s="3"/>
    </row>
    <row r="9" spans="1:11" x14ac:dyDescent="0.2">
      <c r="E9">
        <v>7</v>
      </c>
      <c r="F9">
        <v>50</v>
      </c>
      <c r="G9" s="3">
        <v>9.9871330923815999E-5</v>
      </c>
      <c r="H9" s="2">
        <v>1.04840981320128</v>
      </c>
      <c r="I9" s="4">
        <v>1.07873954936818</v>
      </c>
      <c r="J9" s="2">
        <v>0.90459623957567104</v>
      </c>
      <c r="K9" s="3"/>
    </row>
    <row r="10" spans="1:11" x14ac:dyDescent="0.2">
      <c r="A10" t="s">
        <v>14</v>
      </c>
      <c r="B10" s="5">
        <f>AVERAGE(F3:F12)</f>
        <v>44.1</v>
      </c>
      <c r="E10">
        <v>8</v>
      </c>
      <c r="F10">
        <v>45</v>
      </c>
      <c r="G10" s="3">
        <v>9.5449382013365603E-5</v>
      </c>
      <c r="H10" s="2">
        <v>1.01479188048501</v>
      </c>
      <c r="I10" s="4">
        <v>1.0884490889787</v>
      </c>
      <c r="J10" s="2">
        <v>0.90138332261258702</v>
      </c>
      <c r="K10" s="3"/>
    </row>
    <row r="11" spans="1:11" x14ac:dyDescent="0.2">
      <c r="A11" t="s">
        <v>23</v>
      </c>
      <c r="B11" s="5">
        <f>_xlfn.STDEV.S(F3:F12)</f>
        <v>6.1364122706640005</v>
      </c>
      <c r="E11">
        <v>9</v>
      </c>
      <c r="F11">
        <v>42</v>
      </c>
      <c r="G11" s="3">
        <v>9.7072099856041399E-5</v>
      </c>
      <c r="H11" s="2">
        <v>1.03326671347604</v>
      </c>
      <c r="I11" s="4">
        <v>1.0417767006616001</v>
      </c>
      <c r="J11" s="2">
        <v>0.87888680516604201</v>
      </c>
      <c r="K11" s="3"/>
    </row>
    <row r="12" spans="1:11" x14ac:dyDescent="0.2">
      <c r="E12">
        <v>10</v>
      </c>
      <c r="F12">
        <v>42</v>
      </c>
      <c r="G12" s="3">
        <v>9.5857542800030496E-5</v>
      </c>
      <c r="H12" s="2">
        <v>1.0489047054775</v>
      </c>
      <c r="I12" s="4">
        <v>1.08817654959082</v>
      </c>
      <c r="J12" s="2">
        <v>0.91012662772213704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6CAE-633D-B540-9A94-C4CE44AECEA5}">
  <sheetPr codeName="Sheet5"/>
  <dimension ref="A1:K12"/>
  <sheetViews>
    <sheetView workbookViewId="0">
      <selection activeCell="K16" sqref="K16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45</v>
      </c>
      <c r="G3" s="3">
        <v>9.3608110541258495E-5</v>
      </c>
      <c r="H3" s="2">
        <v>1.03613556463878</v>
      </c>
      <c r="I3" s="4">
        <v>1.0840256340751699</v>
      </c>
      <c r="J3" s="2">
        <v>0.90278364748719098</v>
      </c>
      <c r="K3" s="3"/>
    </row>
    <row r="4" spans="1:11" x14ac:dyDescent="0.2">
      <c r="A4" t="s">
        <v>3</v>
      </c>
      <c r="B4">
        <v>1E-4</v>
      </c>
      <c r="E4">
        <v>2</v>
      </c>
      <c r="F4">
        <v>56</v>
      </c>
      <c r="G4" s="3">
        <v>9.7994737969775997E-5</v>
      </c>
      <c r="H4" s="2">
        <v>1.0410595400734</v>
      </c>
      <c r="I4" s="4">
        <v>1.08405172265098</v>
      </c>
      <c r="J4" s="2">
        <v>0.90611528740740499</v>
      </c>
      <c r="K4" s="3"/>
    </row>
    <row r="5" spans="1:11" x14ac:dyDescent="0.2">
      <c r="A5" t="s">
        <v>4</v>
      </c>
      <c r="B5">
        <v>0.9</v>
      </c>
      <c r="E5">
        <v>3</v>
      </c>
      <c r="F5">
        <v>48</v>
      </c>
      <c r="G5" s="3">
        <v>9.7757131357967194E-5</v>
      </c>
      <c r="H5" s="2">
        <v>1.0325349329773801</v>
      </c>
      <c r="I5" s="4">
        <v>1.0840947294154599</v>
      </c>
      <c r="J5" s="2">
        <v>0.90253685735820099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52</v>
      </c>
      <c r="G6" s="3">
        <v>9.4465132469918496E-5</v>
      </c>
      <c r="H6" s="2">
        <v>1.0450972832355001</v>
      </c>
      <c r="I6" s="4">
        <v>1.0747596808384701</v>
      </c>
      <c r="J6" s="2">
        <v>0.89884106407560405</v>
      </c>
      <c r="K6" s="3"/>
    </row>
    <row r="7" spans="1:11" x14ac:dyDescent="0.2">
      <c r="A7" t="s">
        <v>6</v>
      </c>
      <c r="B7">
        <v>0.25</v>
      </c>
      <c r="E7">
        <v>5</v>
      </c>
      <c r="F7">
        <v>47</v>
      </c>
      <c r="G7" s="3">
        <v>8.7899465425228E-5</v>
      </c>
      <c r="H7" s="2">
        <v>1.02047227981682</v>
      </c>
      <c r="I7" s="4">
        <v>1.07708318610096</v>
      </c>
      <c r="J7" s="2">
        <v>0.89431053251705395</v>
      </c>
      <c r="K7" s="3"/>
    </row>
    <row r="8" spans="1:11" x14ac:dyDescent="0.2">
      <c r="A8" t="s">
        <v>7</v>
      </c>
      <c r="B8">
        <v>100</v>
      </c>
      <c r="E8">
        <v>6</v>
      </c>
      <c r="F8">
        <v>44</v>
      </c>
      <c r="G8" s="3">
        <v>9.8224676970853493E-5</v>
      </c>
      <c r="H8" s="2">
        <v>1.04305183854308</v>
      </c>
      <c r="I8" s="4">
        <v>1.0721879331372399</v>
      </c>
      <c r="J8" s="2">
        <v>0.897608562200225</v>
      </c>
      <c r="K8" s="3"/>
    </row>
    <row r="9" spans="1:11" x14ac:dyDescent="0.2">
      <c r="E9">
        <v>7</v>
      </c>
      <c r="F9">
        <v>41</v>
      </c>
      <c r="G9" s="3">
        <v>9.3483171878873994E-5</v>
      </c>
      <c r="H9" s="2">
        <v>1.02055869665363</v>
      </c>
      <c r="I9" s="4">
        <v>1.0609714243292401</v>
      </c>
      <c r="J9" s="2">
        <v>0.88627017655314699</v>
      </c>
      <c r="K9" s="3"/>
    </row>
    <row r="10" spans="1:11" x14ac:dyDescent="0.2">
      <c r="A10" t="s">
        <v>14</v>
      </c>
      <c r="B10" s="5">
        <f>AVERAGE(F3:F12)</f>
        <v>47</v>
      </c>
      <c r="E10">
        <v>8</v>
      </c>
      <c r="F10">
        <v>46</v>
      </c>
      <c r="G10" s="3">
        <v>8.6107179427624906E-5</v>
      </c>
      <c r="H10" s="2">
        <v>1.0140664437068501</v>
      </c>
      <c r="I10" s="4">
        <v>1.0674123883031901</v>
      </c>
      <c r="J10" s="2">
        <v>0.88495082724317597</v>
      </c>
      <c r="K10" s="3"/>
    </row>
    <row r="11" spans="1:11" x14ac:dyDescent="0.2">
      <c r="A11" t="s">
        <v>23</v>
      </c>
      <c r="B11" s="5">
        <f>_xlfn.STDEV.S(F3:F12)</f>
        <v>4.737556801183965</v>
      </c>
      <c r="E11">
        <v>9</v>
      </c>
      <c r="F11">
        <v>50</v>
      </c>
      <c r="G11" s="3">
        <v>9.98013641962877E-5</v>
      </c>
      <c r="H11" s="2">
        <v>1.03381458720581</v>
      </c>
      <c r="I11" s="4">
        <v>1.0829286991490501</v>
      </c>
      <c r="J11" s="2">
        <v>0.90479226737190299</v>
      </c>
      <c r="K11" s="3"/>
    </row>
    <row r="12" spans="1:11" x14ac:dyDescent="0.2">
      <c r="E12">
        <v>10</v>
      </c>
      <c r="F12">
        <v>41</v>
      </c>
      <c r="G12" s="3">
        <v>8.4600847762649397E-5</v>
      </c>
      <c r="H12" s="2">
        <v>1.0530082653544</v>
      </c>
      <c r="I12" s="4">
        <v>1.0814187123275001</v>
      </c>
      <c r="J12" s="2">
        <v>0.90207990419470996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3732-A914-EE45-AF4A-F05149807808}">
  <sheetPr codeName="Sheet6"/>
  <dimension ref="A1:K12"/>
  <sheetViews>
    <sheetView workbookViewId="0">
      <selection activeCell="I20" sqref="I20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39</v>
      </c>
      <c r="G3" s="3">
        <v>9.0621532030591402E-5</v>
      </c>
      <c r="H3" s="2">
        <v>1.0466946776141699</v>
      </c>
      <c r="I3" s="4">
        <v>1.0772731662669599</v>
      </c>
      <c r="J3" s="2">
        <v>0.89853570782346903</v>
      </c>
      <c r="K3" s="3"/>
    </row>
    <row r="4" spans="1:11" x14ac:dyDescent="0.2">
      <c r="A4" t="s">
        <v>3</v>
      </c>
      <c r="B4">
        <v>1E-4</v>
      </c>
      <c r="E4">
        <v>2</v>
      </c>
      <c r="F4">
        <v>41</v>
      </c>
      <c r="G4" s="3">
        <v>9.8909030619826198E-5</v>
      </c>
      <c r="H4" s="2">
        <v>1.05917005112159</v>
      </c>
      <c r="I4" s="4">
        <v>1.06320246957444</v>
      </c>
      <c r="J4" s="2">
        <v>0.89792882609060598</v>
      </c>
      <c r="K4" s="3"/>
    </row>
    <row r="5" spans="1:11" x14ac:dyDescent="0.2">
      <c r="A5" t="s">
        <v>4</v>
      </c>
      <c r="B5">
        <v>0.9</v>
      </c>
      <c r="E5">
        <v>3</v>
      </c>
      <c r="F5">
        <v>39</v>
      </c>
      <c r="G5" s="3">
        <v>9.0488530566662102E-5</v>
      </c>
      <c r="H5" s="2">
        <v>1.0339768110684699</v>
      </c>
      <c r="I5" s="4">
        <v>1.0613932158775099</v>
      </c>
      <c r="J5" s="2">
        <v>0.88712549001227703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49</v>
      </c>
      <c r="G6" s="3">
        <v>9.2896363408243696E-5</v>
      </c>
      <c r="H6" s="2">
        <v>1.03445515462483</v>
      </c>
      <c r="I6" s="4">
        <v>1.06108397206059</v>
      </c>
      <c r="J6" s="2">
        <v>0.88885174098861697</v>
      </c>
      <c r="K6" s="3"/>
    </row>
    <row r="7" spans="1:11" x14ac:dyDescent="0.2">
      <c r="A7" t="s">
        <v>6</v>
      </c>
      <c r="B7">
        <v>0.3</v>
      </c>
      <c r="E7">
        <v>5</v>
      </c>
      <c r="F7">
        <v>54</v>
      </c>
      <c r="G7" s="3">
        <v>8.4276538741081495E-5</v>
      </c>
      <c r="H7" s="2">
        <v>1.08123245609945</v>
      </c>
      <c r="I7" s="4">
        <v>1.06533864376789</v>
      </c>
      <c r="J7" s="2">
        <v>0.90051276361089105</v>
      </c>
      <c r="K7" s="3"/>
    </row>
    <row r="8" spans="1:11" x14ac:dyDescent="0.2">
      <c r="A8" t="s">
        <v>7</v>
      </c>
      <c r="B8">
        <v>100</v>
      </c>
      <c r="E8">
        <v>6</v>
      </c>
      <c r="F8">
        <v>45</v>
      </c>
      <c r="G8" s="3">
        <v>9.9934017311874599E-5</v>
      </c>
      <c r="H8" s="2">
        <v>1.0100560550988</v>
      </c>
      <c r="I8" s="4">
        <v>1.0929863187647699</v>
      </c>
      <c r="J8" s="2">
        <v>0.90559920065222999</v>
      </c>
      <c r="K8" s="3"/>
    </row>
    <row r="9" spans="1:11" x14ac:dyDescent="0.2">
      <c r="E9">
        <v>7</v>
      </c>
      <c r="F9">
        <v>49</v>
      </c>
      <c r="G9" s="3">
        <v>9.6263079807736303E-5</v>
      </c>
      <c r="H9" s="2">
        <v>1.00743357868498</v>
      </c>
      <c r="I9" s="4">
        <v>1.07733244062914</v>
      </c>
      <c r="J9" s="2">
        <v>0.89359195871379205</v>
      </c>
      <c r="K9" s="3"/>
    </row>
    <row r="10" spans="1:11" x14ac:dyDescent="0.2">
      <c r="A10" t="s">
        <v>14</v>
      </c>
      <c r="B10" s="5">
        <f>AVERAGE(F3:F12)</f>
        <v>44.6</v>
      </c>
      <c r="E10">
        <v>8</v>
      </c>
      <c r="F10">
        <v>45</v>
      </c>
      <c r="G10" s="3">
        <v>9.5900545076108395E-5</v>
      </c>
      <c r="H10" s="2">
        <v>1.0222083081175599</v>
      </c>
      <c r="I10" s="4">
        <v>1.06330343471819</v>
      </c>
      <c r="J10" s="2">
        <v>0.88763023676177399</v>
      </c>
      <c r="K10" s="3"/>
    </row>
    <row r="11" spans="1:11" x14ac:dyDescent="0.2">
      <c r="A11" t="s">
        <v>23</v>
      </c>
      <c r="B11" s="5">
        <f>_xlfn.STDEV.S(F3:F12)</f>
        <v>4.9035134795822275</v>
      </c>
      <c r="E11">
        <v>9</v>
      </c>
      <c r="F11">
        <v>44</v>
      </c>
      <c r="G11" s="3">
        <v>9.7723647406494597E-5</v>
      </c>
      <c r="H11" s="2">
        <v>1.0467742240539599</v>
      </c>
      <c r="I11" s="4">
        <v>1.0818347137017099</v>
      </c>
      <c r="J11" s="2">
        <v>0.90683368979977697</v>
      </c>
      <c r="K11" s="3"/>
    </row>
    <row r="12" spans="1:11" x14ac:dyDescent="0.2">
      <c r="E12">
        <v>10</v>
      </c>
      <c r="F12">
        <v>41</v>
      </c>
      <c r="G12" s="3">
        <v>9.49519043246038E-5</v>
      </c>
      <c r="H12" s="2">
        <v>1.0466552479604101</v>
      </c>
      <c r="I12" s="4">
        <v>1.0766051964955701</v>
      </c>
      <c r="J12" s="2">
        <v>0.89867073221275395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5CE5-1601-7A4C-B209-380A9D1B7DE0}">
  <sheetPr codeName="Sheet7"/>
  <dimension ref="A1:K12"/>
  <sheetViews>
    <sheetView workbookViewId="0">
      <selection activeCell="K17" sqref="K17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53</v>
      </c>
      <c r="G3" s="3">
        <v>9.0820632235563803E-5</v>
      </c>
      <c r="H3" s="2">
        <v>1.03253914915139</v>
      </c>
      <c r="I3" s="4">
        <v>1.0563168665117499</v>
      </c>
      <c r="J3" s="2">
        <v>0.88524418278843198</v>
      </c>
      <c r="K3" s="3"/>
    </row>
    <row r="4" spans="1:11" x14ac:dyDescent="0.2">
      <c r="A4" t="s">
        <v>3</v>
      </c>
      <c r="B4">
        <v>1E-4</v>
      </c>
      <c r="E4">
        <v>2</v>
      </c>
      <c r="F4">
        <v>31</v>
      </c>
      <c r="G4" s="3">
        <v>8.8470062031179494E-5</v>
      </c>
      <c r="H4" s="2">
        <v>1.01018614683999</v>
      </c>
      <c r="I4" s="4">
        <v>1.0602354264060001</v>
      </c>
      <c r="J4" s="2">
        <v>0.88103940911891598</v>
      </c>
      <c r="K4" s="3"/>
    </row>
    <row r="5" spans="1:11" x14ac:dyDescent="0.2">
      <c r="A5" t="s">
        <v>4</v>
      </c>
      <c r="B5">
        <v>0.9</v>
      </c>
      <c r="E5">
        <v>3</v>
      </c>
      <c r="F5">
        <v>49</v>
      </c>
      <c r="G5" s="3">
        <v>9.3267332528992094E-5</v>
      </c>
      <c r="H5" s="2">
        <v>1.0276326173597901</v>
      </c>
      <c r="I5" s="4">
        <v>1.0878108728379099</v>
      </c>
      <c r="J5" s="2">
        <v>0.90335924290737601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39</v>
      </c>
      <c r="G6" s="3">
        <v>9.4459989486935298E-5</v>
      </c>
      <c r="H6" s="2">
        <v>1.02526319430741</v>
      </c>
      <c r="I6" s="4">
        <v>1.09661581756369</v>
      </c>
      <c r="J6" s="2">
        <v>0.90799748898264798</v>
      </c>
      <c r="K6" s="3"/>
    </row>
    <row r="7" spans="1:11" x14ac:dyDescent="0.2">
      <c r="A7" t="s">
        <v>6</v>
      </c>
      <c r="B7">
        <v>0.35</v>
      </c>
      <c r="E7">
        <v>5</v>
      </c>
      <c r="F7">
        <v>47</v>
      </c>
      <c r="G7" s="3">
        <v>9.3006073852429797E-5</v>
      </c>
      <c r="H7" s="2">
        <v>1.0240154161549799</v>
      </c>
      <c r="I7" s="4">
        <v>1.05649342569584</v>
      </c>
      <c r="J7" s="2">
        <v>0.88311303118746298</v>
      </c>
      <c r="K7" s="3"/>
    </row>
    <row r="8" spans="1:11" x14ac:dyDescent="0.2">
      <c r="A8" t="s">
        <v>7</v>
      </c>
      <c r="B8">
        <v>100</v>
      </c>
      <c r="E8">
        <v>6</v>
      </c>
      <c r="F8">
        <v>46</v>
      </c>
      <c r="G8" s="3">
        <v>9.8408057336170205E-5</v>
      </c>
      <c r="H8" s="2">
        <v>1.03210295694002</v>
      </c>
      <c r="I8" s="4">
        <v>1.0756890495089999</v>
      </c>
      <c r="J8" s="2">
        <v>0.899237891543062</v>
      </c>
      <c r="K8" s="3"/>
    </row>
    <row r="9" spans="1:11" x14ac:dyDescent="0.2">
      <c r="E9">
        <v>7</v>
      </c>
      <c r="F9">
        <v>38</v>
      </c>
      <c r="G9" s="3">
        <v>9.74453204369934E-5</v>
      </c>
      <c r="H9" s="2">
        <v>1.02337191294874</v>
      </c>
      <c r="I9" s="4">
        <v>1.0799720825988299</v>
      </c>
      <c r="J9" s="2">
        <v>0.89878631400620901</v>
      </c>
      <c r="K9" s="3"/>
    </row>
    <row r="10" spans="1:11" x14ac:dyDescent="0.2">
      <c r="A10" t="s">
        <v>14</v>
      </c>
      <c r="B10" s="5">
        <f>AVERAGE(F3:F12)</f>
        <v>45.3</v>
      </c>
      <c r="E10">
        <v>8</v>
      </c>
      <c r="F10">
        <v>41</v>
      </c>
      <c r="G10" s="3">
        <v>9.4957721727156994E-5</v>
      </c>
      <c r="H10" s="2">
        <v>1.09867046418037</v>
      </c>
      <c r="I10" s="4">
        <v>1.0415787787086701</v>
      </c>
      <c r="J10" s="2">
        <v>0.89240033403992902</v>
      </c>
      <c r="K10" s="3"/>
    </row>
    <row r="11" spans="1:11" x14ac:dyDescent="0.2">
      <c r="A11" t="s">
        <v>23</v>
      </c>
      <c r="B11" s="5">
        <f>_xlfn.STDEV.S(F3:F12)</f>
        <v>7.93095202355933</v>
      </c>
      <c r="E11">
        <v>9</v>
      </c>
      <c r="F11">
        <v>53</v>
      </c>
      <c r="G11" s="3">
        <v>9.296273226215E-5</v>
      </c>
      <c r="H11" s="2">
        <v>1.07512613605303</v>
      </c>
      <c r="I11" s="4">
        <v>1.0671890168239999</v>
      </c>
      <c r="J11" s="2">
        <v>0.90224555759141201</v>
      </c>
      <c r="K11" s="3"/>
    </row>
    <row r="12" spans="1:11" x14ac:dyDescent="0.2">
      <c r="E12">
        <v>10</v>
      </c>
      <c r="F12">
        <v>56</v>
      </c>
      <c r="G12" s="3">
        <v>8.9210698565507802E-5</v>
      </c>
      <c r="H12" s="2">
        <v>1.04006890125963</v>
      </c>
      <c r="I12" s="4">
        <v>1.1117312141453199</v>
      </c>
      <c r="J12" s="2">
        <v>0.91936355556548699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8CE9-C4F3-1D4A-BFC4-2BBA3F49CAE3}">
  <sheetPr codeName="Sheet8"/>
  <dimension ref="A1:K12"/>
  <sheetViews>
    <sheetView workbookViewId="0">
      <selection activeCell="I20" sqref="I20"/>
    </sheetView>
  </sheetViews>
  <sheetFormatPr baseColWidth="10" defaultRowHeight="16" x14ac:dyDescent="0.2"/>
  <cols>
    <col min="1" max="1" width="17.1640625" customWidth="1"/>
    <col min="2" max="2" width="12.6640625" bestFit="1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39</v>
      </c>
      <c r="G3" s="3">
        <v>9.9258650713257506E-5</v>
      </c>
      <c r="H3" s="2">
        <v>0.99873619955298998</v>
      </c>
      <c r="I3" s="4">
        <v>1.08878061933226</v>
      </c>
      <c r="J3" s="2">
        <v>0.89796216533265105</v>
      </c>
      <c r="K3" s="3"/>
    </row>
    <row r="4" spans="1:11" x14ac:dyDescent="0.2">
      <c r="A4" t="s">
        <v>3</v>
      </c>
      <c r="B4">
        <v>1E-4</v>
      </c>
      <c r="E4">
        <v>2</v>
      </c>
      <c r="F4">
        <v>45</v>
      </c>
      <c r="G4" s="3">
        <v>8.62644136687782E-5</v>
      </c>
      <c r="H4" s="2">
        <v>1.0333998438924401</v>
      </c>
      <c r="I4" s="4">
        <v>1.07747336927861</v>
      </c>
      <c r="J4" s="2">
        <v>0.89573452146791599</v>
      </c>
      <c r="K4" s="3"/>
    </row>
    <row r="5" spans="1:11" x14ac:dyDescent="0.2">
      <c r="A5" t="s">
        <v>4</v>
      </c>
      <c r="B5">
        <v>0.9</v>
      </c>
      <c r="E5">
        <v>3</v>
      </c>
      <c r="F5">
        <v>49</v>
      </c>
      <c r="G5" s="3">
        <v>9.9665595914643994E-5</v>
      </c>
      <c r="H5" s="2">
        <v>1.0258178313041</v>
      </c>
      <c r="I5" s="4">
        <v>1.07575199890553</v>
      </c>
      <c r="J5" s="2">
        <v>0.89778776982734199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38</v>
      </c>
      <c r="G6" s="3">
        <v>9.6828743790975102E-5</v>
      </c>
      <c r="H6" s="2">
        <v>1.0163302848348399</v>
      </c>
      <c r="I6" s="4">
        <v>1.0903669101689399</v>
      </c>
      <c r="J6" s="2">
        <v>0.90308197819954505</v>
      </c>
      <c r="K6" s="3"/>
    </row>
    <row r="7" spans="1:11" x14ac:dyDescent="0.2">
      <c r="A7" t="s">
        <v>6</v>
      </c>
      <c r="B7">
        <v>0.4</v>
      </c>
      <c r="E7">
        <v>5</v>
      </c>
      <c r="F7">
        <v>39</v>
      </c>
      <c r="G7" s="3">
        <v>9.6098803018393602E-5</v>
      </c>
      <c r="H7" s="2">
        <v>1.0586488002332901</v>
      </c>
      <c r="I7" s="4">
        <v>1.0786738405891301</v>
      </c>
      <c r="J7" s="2">
        <v>0.90645394323894402</v>
      </c>
      <c r="K7" s="3"/>
    </row>
    <row r="8" spans="1:11" x14ac:dyDescent="0.2">
      <c r="A8" t="s">
        <v>7</v>
      </c>
      <c r="B8">
        <v>100</v>
      </c>
      <c r="E8">
        <v>6</v>
      </c>
      <c r="F8">
        <v>43</v>
      </c>
      <c r="G8" s="3">
        <v>9.5690974214911799E-5</v>
      </c>
      <c r="H8" s="2">
        <v>0.99444360764975503</v>
      </c>
      <c r="I8" s="4">
        <v>1.09447300395767</v>
      </c>
      <c r="J8" s="2">
        <v>0.89976998922590001</v>
      </c>
      <c r="K8" s="3"/>
    </row>
    <row r="9" spans="1:11" x14ac:dyDescent="0.2">
      <c r="E9">
        <v>7</v>
      </c>
      <c r="F9">
        <v>45</v>
      </c>
      <c r="G9" s="3">
        <v>8.7422436289401299E-5</v>
      </c>
      <c r="H9" s="2">
        <v>1.0269363588260101</v>
      </c>
      <c r="I9" s="4">
        <v>1.08523148559727</v>
      </c>
      <c r="J9" s="2">
        <v>0.89912413851608497</v>
      </c>
      <c r="K9" s="3"/>
    </row>
    <row r="10" spans="1:11" x14ac:dyDescent="0.2">
      <c r="A10" t="s">
        <v>14</v>
      </c>
      <c r="B10" s="5">
        <f>AVERAGE(F3:F12)</f>
        <v>41.2</v>
      </c>
      <c r="E10">
        <v>8</v>
      </c>
      <c r="F10">
        <v>29</v>
      </c>
      <c r="G10" s="3">
        <v>8.8038302471952798E-5</v>
      </c>
      <c r="H10" s="2">
        <v>1.0312582280182701</v>
      </c>
      <c r="I10" s="4">
        <v>1.04425426185571</v>
      </c>
      <c r="J10" s="2">
        <v>0.87533270034055199</v>
      </c>
      <c r="K10" s="3"/>
    </row>
    <row r="11" spans="1:11" x14ac:dyDescent="0.2">
      <c r="A11" t="s">
        <v>23</v>
      </c>
      <c r="B11" s="5">
        <f>_xlfn.STDEV.S(F3:F12)</f>
        <v>5.5537774932422597</v>
      </c>
      <c r="E11">
        <v>9</v>
      </c>
      <c r="F11">
        <v>45</v>
      </c>
      <c r="G11" s="3">
        <v>9.9922944890306497E-5</v>
      </c>
      <c r="H11" s="2">
        <v>1.0434233657415</v>
      </c>
      <c r="I11" s="4">
        <v>1.06327834572378</v>
      </c>
      <c r="J11" s="2">
        <v>0.89468939575221995</v>
      </c>
      <c r="K11" s="3"/>
    </row>
    <row r="12" spans="1:11" x14ac:dyDescent="0.2">
      <c r="E12">
        <v>10</v>
      </c>
      <c r="F12">
        <v>40</v>
      </c>
      <c r="G12" s="3">
        <v>9.4312273665534598E-5</v>
      </c>
      <c r="H12" s="2">
        <v>1.03492491807612</v>
      </c>
      <c r="I12" s="4">
        <v>1.0973085313192401</v>
      </c>
      <c r="J12" s="2">
        <v>0.910638129119555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F7E3-E594-FA44-B577-2BC915CC0ECF}">
  <sheetPr codeName="Sheet9"/>
  <dimension ref="A1:K12"/>
  <sheetViews>
    <sheetView workbookViewId="0">
      <selection activeCell="H23" sqref="H23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48</v>
      </c>
      <c r="G3" s="3">
        <v>9.6660499618023696E-5</v>
      </c>
      <c r="H3" s="2">
        <v>1.02948309941245</v>
      </c>
      <c r="I3" s="4">
        <v>1.0579293438714401</v>
      </c>
      <c r="J3" s="2">
        <v>0.88670709422827798</v>
      </c>
      <c r="K3" s="3"/>
    </row>
    <row r="4" spans="1:11" x14ac:dyDescent="0.2">
      <c r="A4" t="s">
        <v>3</v>
      </c>
      <c r="B4">
        <v>1E-4</v>
      </c>
      <c r="E4">
        <v>2</v>
      </c>
      <c r="F4">
        <v>49</v>
      </c>
      <c r="G4" s="3">
        <v>9.8702206922532404E-5</v>
      </c>
      <c r="H4" s="2">
        <v>1.0410652846094</v>
      </c>
      <c r="I4" s="4">
        <v>1.0779374513067701</v>
      </c>
      <c r="J4" s="2">
        <v>0.90096185739453805</v>
      </c>
      <c r="K4" s="3"/>
    </row>
    <row r="5" spans="1:11" x14ac:dyDescent="0.2">
      <c r="A5" t="s">
        <v>4</v>
      </c>
      <c r="B5">
        <v>0.9</v>
      </c>
      <c r="E5">
        <v>3</v>
      </c>
      <c r="F5">
        <v>43</v>
      </c>
      <c r="G5" s="3">
        <v>9.9643455874473595E-5</v>
      </c>
      <c r="H5" s="2">
        <v>1.01605067583765</v>
      </c>
      <c r="I5" s="4">
        <v>1.07166550904833</v>
      </c>
      <c r="J5" s="2">
        <v>0.89298389638449605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45</v>
      </c>
      <c r="G6" s="3">
        <v>9.8402085873794496E-5</v>
      </c>
      <c r="H6" s="2">
        <v>1.0367816775946499</v>
      </c>
      <c r="I6" s="4">
        <v>1.0703011742806201</v>
      </c>
      <c r="J6" s="2">
        <v>0.89626968140747398</v>
      </c>
      <c r="K6" s="3"/>
    </row>
    <row r="7" spans="1:11" x14ac:dyDescent="0.2">
      <c r="A7" t="s">
        <v>6</v>
      </c>
      <c r="B7">
        <v>0.45</v>
      </c>
      <c r="E7">
        <v>5</v>
      </c>
      <c r="F7">
        <v>30</v>
      </c>
      <c r="G7" s="3">
        <v>9.9981249938938094E-5</v>
      </c>
      <c r="H7" s="2">
        <v>1.0333219120275601</v>
      </c>
      <c r="I7" s="4">
        <v>1.0790695761618101</v>
      </c>
      <c r="J7" s="2">
        <v>0.90278207061750604</v>
      </c>
      <c r="K7" s="3"/>
    </row>
    <row r="8" spans="1:11" x14ac:dyDescent="0.2">
      <c r="A8" t="s">
        <v>7</v>
      </c>
      <c r="B8">
        <v>100</v>
      </c>
      <c r="E8">
        <v>6</v>
      </c>
      <c r="F8">
        <v>49</v>
      </c>
      <c r="G8" s="3">
        <v>9.0766462852899404E-5</v>
      </c>
      <c r="H8" s="2">
        <v>1.02497077115757</v>
      </c>
      <c r="I8" s="4">
        <v>1.0871830581241899</v>
      </c>
      <c r="J8" s="2">
        <v>0.89978824203729801</v>
      </c>
      <c r="K8" s="3"/>
    </row>
    <row r="9" spans="1:11" x14ac:dyDescent="0.2">
      <c r="E9">
        <v>7</v>
      </c>
      <c r="F9">
        <v>42</v>
      </c>
      <c r="G9" s="3">
        <v>9.5516247739285397E-5</v>
      </c>
      <c r="H9" s="2">
        <v>1.0186401248324699</v>
      </c>
      <c r="I9" s="4">
        <v>1.07142342282405</v>
      </c>
      <c r="J9" s="2">
        <v>0.89096361256197898</v>
      </c>
      <c r="K9" s="3"/>
    </row>
    <row r="10" spans="1:11" x14ac:dyDescent="0.2">
      <c r="A10" t="s">
        <v>14</v>
      </c>
      <c r="B10" s="5">
        <f>AVERAGE(F3:F12)</f>
        <v>45.7</v>
      </c>
      <c r="E10">
        <v>8</v>
      </c>
      <c r="F10">
        <v>52</v>
      </c>
      <c r="G10" s="3">
        <v>9.1425678724402703E-5</v>
      </c>
      <c r="H10" s="2">
        <v>1.04725486904403</v>
      </c>
      <c r="I10" s="4">
        <v>1.0771291377965</v>
      </c>
      <c r="J10" s="2">
        <v>0.89998656330526405</v>
      </c>
      <c r="K10" s="3"/>
    </row>
    <row r="11" spans="1:11" x14ac:dyDescent="0.2">
      <c r="A11" t="s">
        <v>23</v>
      </c>
      <c r="B11" s="5">
        <f>_xlfn.STDEV.S(F3:F12)</f>
        <v>9.3339285524489668</v>
      </c>
      <c r="E11">
        <v>9</v>
      </c>
      <c r="F11">
        <v>35</v>
      </c>
      <c r="G11" s="3">
        <v>9.5993587311243205E-5</v>
      </c>
      <c r="H11" s="2">
        <v>1.02923293290927</v>
      </c>
      <c r="I11" s="4">
        <v>1.11272804738183</v>
      </c>
      <c r="J11" s="2">
        <v>0.91871654461796104</v>
      </c>
      <c r="K11" s="3"/>
    </row>
    <row r="12" spans="1:11" x14ac:dyDescent="0.2">
      <c r="E12">
        <v>10</v>
      </c>
      <c r="F12">
        <v>64</v>
      </c>
      <c r="G12" s="3">
        <v>8.9287323313248299E-5</v>
      </c>
      <c r="H12" s="2">
        <v>1.02985628642086</v>
      </c>
      <c r="I12" s="4">
        <v>1.0685401281170199</v>
      </c>
      <c r="J12" s="2">
        <v>0.89118207194477395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4628-A60A-C749-B6EE-F17E4773C1C9}">
  <sheetPr codeName="Sheet10"/>
  <dimension ref="A1:K12"/>
  <sheetViews>
    <sheetView workbookViewId="0">
      <selection activeCell="M10" sqref="M10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39</v>
      </c>
      <c r="G3" s="3">
        <v>9.4749049069798298E-5</v>
      </c>
      <c r="H3" s="2">
        <v>1.02971700936039</v>
      </c>
      <c r="I3" s="4">
        <v>1.0973649988957099</v>
      </c>
      <c r="J3" s="2">
        <v>0.90828351038231703</v>
      </c>
      <c r="K3" s="3"/>
    </row>
    <row r="4" spans="1:11" x14ac:dyDescent="0.2">
      <c r="A4" t="s">
        <v>3</v>
      </c>
      <c r="B4">
        <v>1E-4</v>
      </c>
      <c r="E4">
        <v>2</v>
      </c>
      <c r="F4">
        <v>40</v>
      </c>
      <c r="G4" s="3">
        <v>9.8078339815254703E-5</v>
      </c>
      <c r="H4" s="2">
        <v>1.0187848950295</v>
      </c>
      <c r="I4" s="4">
        <v>1.07507466106715</v>
      </c>
      <c r="J4" s="2">
        <v>0.894938596220195</v>
      </c>
      <c r="K4" s="3"/>
    </row>
    <row r="5" spans="1:11" x14ac:dyDescent="0.2">
      <c r="A5" t="s">
        <v>4</v>
      </c>
      <c r="B5">
        <v>0.9</v>
      </c>
      <c r="E5">
        <v>3</v>
      </c>
      <c r="F5">
        <v>45</v>
      </c>
      <c r="G5" s="3">
        <v>9.2155206901971604E-5</v>
      </c>
      <c r="H5" s="2">
        <v>1.03057836167382</v>
      </c>
      <c r="I5" s="4">
        <v>1.10067857186453</v>
      </c>
      <c r="J5" s="2">
        <v>0.90941705742316103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45</v>
      </c>
      <c r="G6" s="3">
        <v>9.8628119128270201E-5</v>
      </c>
      <c r="H6" s="2">
        <v>1.0121778817563301</v>
      </c>
      <c r="I6" s="4">
        <v>1.0900785050727499</v>
      </c>
      <c r="J6" s="2">
        <v>0.90265031915245797</v>
      </c>
      <c r="K6" s="3"/>
    </row>
    <row r="7" spans="1:11" x14ac:dyDescent="0.2">
      <c r="A7" t="s">
        <v>6</v>
      </c>
      <c r="B7">
        <v>0.5</v>
      </c>
      <c r="E7">
        <v>5</v>
      </c>
      <c r="F7">
        <v>42</v>
      </c>
      <c r="G7" s="3">
        <v>9.9364001231763897E-5</v>
      </c>
      <c r="H7" s="2">
        <v>1.0306681927310299</v>
      </c>
      <c r="I7" s="4">
        <v>1.0807660983265599</v>
      </c>
      <c r="J7" s="2">
        <v>0.90211476038002103</v>
      </c>
      <c r="K7" s="3"/>
    </row>
    <row r="8" spans="1:11" x14ac:dyDescent="0.2">
      <c r="A8" t="s">
        <v>7</v>
      </c>
      <c r="B8">
        <v>100</v>
      </c>
      <c r="E8">
        <v>6</v>
      </c>
      <c r="F8">
        <v>43</v>
      </c>
      <c r="G8" s="3">
        <v>9.6915320870592306E-5</v>
      </c>
      <c r="H8" s="2">
        <v>1.0335445970867401</v>
      </c>
      <c r="I8" s="4">
        <v>1.0591072755161799</v>
      </c>
      <c r="J8" s="2">
        <v>0.88748361768184003</v>
      </c>
      <c r="K8" s="3"/>
    </row>
    <row r="9" spans="1:11" x14ac:dyDescent="0.2">
      <c r="E9">
        <v>7</v>
      </c>
      <c r="F9">
        <v>43</v>
      </c>
      <c r="G9" s="3">
        <v>9.0298896745583194E-5</v>
      </c>
      <c r="H9" s="2">
        <v>1.0364110210428099</v>
      </c>
      <c r="I9" s="4">
        <v>1.0907539357575</v>
      </c>
      <c r="J9" s="2">
        <v>0.90486990578058801</v>
      </c>
      <c r="K9" s="3"/>
    </row>
    <row r="10" spans="1:11" x14ac:dyDescent="0.2">
      <c r="A10" t="s">
        <v>14</v>
      </c>
      <c r="B10" s="5">
        <f>AVERAGE(F3:F12)</f>
        <v>43.3</v>
      </c>
      <c r="E10">
        <v>8</v>
      </c>
      <c r="F10">
        <v>42</v>
      </c>
      <c r="G10" s="3">
        <v>8.8729871440075303E-5</v>
      </c>
      <c r="H10" s="2">
        <v>1.0389179751305999</v>
      </c>
      <c r="I10" s="4">
        <v>1.08364316518757</v>
      </c>
      <c r="J10" s="2">
        <v>0.902676936337796</v>
      </c>
      <c r="K10" s="3"/>
    </row>
    <row r="11" spans="1:11" x14ac:dyDescent="0.2">
      <c r="A11" t="s">
        <v>23</v>
      </c>
      <c r="B11" s="5">
        <f>_xlfn.STDEV.S(F3:F12)</f>
        <v>4.2700507413066342</v>
      </c>
      <c r="E11">
        <v>9</v>
      </c>
      <c r="F11">
        <v>54</v>
      </c>
      <c r="G11" s="3">
        <v>9.9548980225124895E-5</v>
      </c>
      <c r="H11" s="2">
        <v>1.0271655989281101</v>
      </c>
      <c r="I11" s="4">
        <v>1.0779756864541701</v>
      </c>
      <c r="J11" s="2">
        <v>0.89963737602763605</v>
      </c>
      <c r="K11" s="3"/>
    </row>
    <row r="12" spans="1:11" x14ac:dyDescent="0.2">
      <c r="E12">
        <v>10</v>
      </c>
      <c r="F12">
        <v>40</v>
      </c>
      <c r="G12" s="3">
        <v>9.7614379200751004E-5</v>
      </c>
      <c r="H12" s="2">
        <v>1.0384511204773801</v>
      </c>
      <c r="I12" s="4">
        <v>1.08932377114882</v>
      </c>
      <c r="J12" s="2">
        <v>0.90792307193051203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6E7C-06BB-774F-BCED-A8943406D3CC}">
  <sheetPr codeName="Sheet11"/>
  <dimension ref="A1:K12"/>
  <sheetViews>
    <sheetView workbookViewId="0">
      <selection activeCell="E3" sqref="E3:J12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52</v>
      </c>
      <c r="G3" s="3">
        <v>9.7159220370986795E-5</v>
      </c>
      <c r="H3" s="2">
        <v>1.04596313225344</v>
      </c>
      <c r="I3" s="4">
        <v>1.08095056115148</v>
      </c>
      <c r="J3" s="2">
        <v>0.90723298201558</v>
      </c>
      <c r="K3" s="3"/>
    </row>
    <row r="4" spans="1:11" x14ac:dyDescent="0.2">
      <c r="A4" t="s">
        <v>3</v>
      </c>
      <c r="B4">
        <v>1E-4</v>
      </c>
      <c r="E4">
        <v>2</v>
      </c>
      <c r="F4">
        <v>51</v>
      </c>
      <c r="G4" s="3">
        <v>9.7390306578901901E-5</v>
      </c>
      <c r="H4" s="2">
        <v>1.05392909265533</v>
      </c>
      <c r="I4" s="4">
        <v>1.0459535659438699</v>
      </c>
      <c r="J4" s="2">
        <v>0.88518878132324796</v>
      </c>
      <c r="K4" s="3"/>
    </row>
    <row r="5" spans="1:11" x14ac:dyDescent="0.2">
      <c r="A5" t="s">
        <v>4</v>
      </c>
      <c r="B5">
        <v>0.9</v>
      </c>
      <c r="E5">
        <v>3</v>
      </c>
      <c r="F5">
        <v>55</v>
      </c>
      <c r="G5" s="3">
        <v>9.8976362641612603E-5</v>
      </c>
      <c r="H5" s="2">
        <v>1.0897105460496199</v>
      </c>
      <c r="I5" s="4">
        <v>1.04098804230884</v>
      </c>
      <c r="J5" s="2">
        <v>0.89132555844793504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60</v>
      </c>
      <c r="G6" s="3">
        <v>9.6839093540961E-5</v>
      </c>
      <c r="H6" s="2">
        <v>1.0182625143753901</v>
      </c>
      <c r="I6" s="4">
        <v>1.0634598013087899</v>
      </c>
      <c r="J6" s="2">
        <v>0.88799265791236304</v>
      </c>
      <c r="K6" s="3"/>
    </row>
    <row r="7" spans="1:11" x14ac:dyDescent="0.2">
      <c r="A7" t="s">
        <v>6</v>
      </c>
      <c r="B7">
        <v>0.55000000000000004</v>
      </c>
      <c r="E7">
        <v>5</v>
      </c>
      <c r="F7">
        <v>54</v>
      </c>
      <c r="G7" s="3">
        <v>9.6969611282688096E-5</v>
      </c>
      <c r="H7" s="2">
        <v>1.0477090217393501</v>
      </c>
      <c r="I7" s="4">
        <v>1.08130042006533</v>
      </c>
      <c r="J7" s="2">
        <v>0.90458485513715603</v>
      </c>
      <c r="K7" s="3"/>
    </row>
    <row r="8" spans="1:11" x14ac:dyDescent="0.2">
      <c r="A8" t="s">
        <v>7</v>
      </c>
      <c r="B8">
        <v>100</v>
      </c>
      <c r="E8">
        <v>6</v>
      </c>
      <c r="F8">
        <v>38</v>
      </c>
      <c r="G8" s="3">
        <v>9.2689521828143298E-5</v>
      </c>
      <c r="H8" s="2">
        <v>1.0747360972351001</v>
      </c>
      <c r="I8" s="4">
        <v>1.0650935790218199</v>
      </c>
      <c r="J8" s="2">
        <v>0.89959335668602602</v>
      </c>
      <c r="K8" s="3"/>
    </row>
    <row r="9" spans="1:11" x14ac:dyDescent="0.2">
      <c r="E9">
        <v>7</v>
      </c>
      <c r="F9">
        <v>49</v>
      </c>
      <c r="G9" s="3">
        <v>9.4163861932697904E-5</v>
      </c>
      <c r="H9" s="2">
        <v>1.0243047571235899</v>
      </c>
      <c r="I9" s="4">
        <v>1.0496101751204601</v>
      </c>
      <c r="J9" s="2">
        <v>0.87972190087554603</v>
      </c>
      <c r="K9" s="3"/>
    </row>
    <row r="10" spans="1:11" x14ac:dyDescent="0.2">
      <c r="A10" t="s">
        <v>14</v>
      </c>
      <c r="B10" s="5">
        <f>AVERAGE(F3:F12)</f>
        <v>50.4</v>
      </c>
      <c r="E10">
        <v>8</v>
      </c>
      <c r="F10">
        <v>42</v>
      </c>
      <c r="G10" s="3">
        <v>8.6639970727001801E-5</v>
      </c>
      <c r="H10" s="2">
        <v>1.0279707994460401</v>
      </c>
      <c r="I10" s="4">
        <v>1.0648006180235099</v>
      </c>
      <c r="J10" s="2">
        <v>0.88819638890303898</v>
      </c>
      <c r="K10" s="3"/>
    </row>
    <row r="11" spans="1:11" x14ac:dyDescent="0.2">
      <c r="A11" t="s">
        <v>23</v>
      </c>
      <c r="B11" s="5">
        <f>_xlfn.STDEV.S(F3:F12)</f>
        <v>6.3456021516217698</v>
      </c>
      <c r="E11">
        <v>9</v>
      </c>
      <c r="F11">
        <v>53</v>
      </c>
      <c r="G11" s="3">
        <v>9.9182393073918101E-5</v>
      </c>
      <c r="H11" s="2">
        <v>1.0515035389109799</v>
      </c>
      <c r="I11" s="4">
        <v>1.0744332656242499</v>
      </c>
      <c r="J11" s="2">
        <v>0.90283734101045299</v>
      </c>
      <c r="K11" s="3"/>
    </row>
    <row r="12" spans="1:11" x14ac:dyDescent="0.2">
      <c r="E12">
        <v>10</v>
      </c>
      <c r="F12">
        <v>50</v>
      </c>
      <c r="G12" s="3">
        <v>9.7841720861464895E-5</v>
      </c>
      <c r="H12" s="2">
        <v>1.0347121265611801</v>
      </c>
      <c r="I12" s="4">
        <v>1.07749444347388</v>
      </c>
      <c r="J12" s="2">
        <v>0.90039635305299903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5B55-9B4B-BE4A-917D-77B47FE41478}">
  <sheetPr codeName="Sheet12"/>
  <dimension ref="A1:K12"/>
  <sheetViews>
    <sheetView workbookViewId="0">
      <selection activeCell="E3" sqref="E3:J12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38</v>
      </c>
      <c r="G3" s="3">
        <v>9.1251887542480398E-5</v>
      </c>
      <c r="H3" s="2">
        <v>1.0483821482537199</v>
      </c>
      <c r="I3" s="4">
        <v>1.1085759461629601</v>
      </c>
      <c r="J3" s="2">
        <v>0.92053520720966497</v>
      </c>
      <c r="K3" s="3"/>
    </row>
    <row r="4" spans="1:11" x14ac:dyDescent="0.2">
      <c r="A4" t="s">
        <v>3</v>
      </c>
      <c r="B4">
        <v>1E-4</v>
      </c>
      <c r="E4">
        <v>2</v>
      </c>
      <c r="F4">
        <v>41</v>
      </c>
      <c r="G4" s="3">
        <v>9.34060120052419E-5</v>
      </c>
      <c r="H4" s="2">
        <v>1.01741102837222</v>
      </c>
      <c r="I4" s="4">
        <v>1.0505500361062099</v>
      </c>
      <c r="J4" s="2">
        <v>0.87936775296421799</v>
      </c>
      <c r="K4" s="3"/>
    </row>
    <row r="5" spans="1:11" x14ac:dyDescent="0.2">
      <c r="A5" t="s">
        <v>4</v>
      </c>
      <c r="B5">
        <v>0.9</v>
      </c>
      <c r="E5">
        <v>3</v>
      </c>
      <c r="F5">
        <v>40</v>
      </c>
      <c r="G5" s="3">
        <v>9.7383034589585007E-5</v>
      </c>
      <c r="H5" s="2">
        <v>1.0821773304365601</v>
      </c>
      <c r="I5" s="4">
        <v>1.0675100649792</v>
      </c>
      <c r="J5" s="2">
        <v>0.90447601982220205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50</v>
      </c>
      <c r="G6" s="3">
        <v>9.7050988952451805E-5</v>
      </c>
      <c r="H6" s="2">
        <v>1.0312214055484401</v>
      </c>
      <c r="I6" s="4">
        <v>1.0740606902140999</v>
      </c>
      <c r="J6" s="2">
        <v>0.89649316449988903</v>
      </c>
      <c r="K6" s="3"/>
    </row>
    <row r="7" spans="1:11" x14ac:dyDescent="0.2">
      <c r="A7" t="s">
        <v>6</v>
      </c>
      <c r="B7">
        <v>0.6</v>
      </c>
      <c r="E7">
        <v>5</v>
      </c>
      <c r="F7">
        <v>33</v>
      </c>
      <c r="G7" s="3">
        <v>9.0336457580163996E-5</v>
      </c>
      <c r="H7" s="2">
        <v>1.03119801277893</v>
      </c>
      <c r="I7" s="4">
        <v>1.0871031499657</v>
      </c>
      <c r="J7" s="2">
        <v>0.902831531992768</v>
      </c>
      <c r="K7" s="3"/>
    </row>
    <row r="8" spans="1:11" x14ac:dyDescent="0.2">
      <c r="A8" t="s">
        <v>7</v>
      </c>
      <c r="B8">
        <v>100</v>
      </c>
      <c r="E8">
        <v>6</v>
      </c>
      <c r="F8">
        <v>47</v>
      </c>
      <c r="G8" s="3">
        <v>9.4976413646696506E-5</v>
      </c>
      <c r="H8" s="2">
        <v>1.0297616193722201</v>
      </c>
      <c r="I8" s="4">
        <v>1.0859519415447201</v>
      </c>
      <c r="J8" s="2">
        <v>0.90273286506421802</v>
      </c>
      <c r="K8" s="3"/>
    </row>
    <row r="9" spans="1:11" x14ac:dyDescent="0.2">
      <c r="E9">
        <v>7</v>
      </c>
      <c r="F9">
        <v>41</v>
      </c>
      <c r="G9" s="3">
        <v>9.9204250841114299E-5</v>
      </c>
      <c r="H9" s="2">
        <v>1.0307746235366699</v>
      </c>
      <c r="I9" s="4">
        <v>1.06419918256072</v>
      </c>
      <c r="J9" s="2">
        <v>0.89325788496993896</v>
      </c>
      <c r="K9" s="3"/>
    </row>
    <row r="10" spans="1:11" x14ac:dyDescent="0.2">
      <c r="A10" t="s">
        <v>14</v>
      </c>
      <c r="B10" s="5">
        <f>AVERAGE(F3:F12)</f>
        <v>42.6</v>
      </c>
      <c r="E10">
        <v>8</v>
      </c>
      <c r="F10">
        <v>48</v>
      </c>
      <c r="G10" s="3">
        <v>9.3530882029186594E-5</v>
      </c>
      <c r="H10" s="2">
        <v>1.0385852085441201</v>
      </c>
      <c r="I10" s="4">
        <v>1.0793946394149001</v>
      </c>
      <c r="J10" s="2">
        <v>0.90042279934427305</v>
      </c>
      <c r="K10" s="3"/>
    </row>
    <row r="11" spans="1:11" x14ac:dyDescent="0.2">
      <c r="A11" t="s">
        <v>23</v>
      </c>
      <c r="B11" s="5">
        <f>_xlfn.STDEV.S(F3:F12)</f>
        <v>6.0589694760009536</v>
      </c>
      <c r="E11">
        <v>9</v>
      </c>
      <c r="F11">
        <v>51</v>
      </c>
      <c r="G11" s="3">
        <v>9.6523399998015298E-5</v>
      </c>
      <c r="H11" s="2">
        <v>1.03615423115648</v>
      </c>
      <c r="I11" s="4">
        <v>1.09648969748472</v>
      </c>
      <c r="J11" s="2">
        <v>0.91113733208069003</v>
      </c>
      <c r="K11" s="3"/>
    </row>
    <row r="12" spans="1:11" x14ac:dyDescent="0.2">
      <c r="E12">
        <v>10</v>
      </c>
      <c r="F12">
        <v>37</v>
      </c>
      <c r="G12" s="3">
        <v>9.3103695484777102E-5</v>
      </c>
      <c r="H12" s="2">
        <v>0.96910369366541405</v>
      </c>
      <c r="I12" s="4">
        <v>1.1211444760143601</v>
      </c>
      <c r="J12" s="2">
        <v>0.907968539426531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E1FC-DBF0-7A48-9F7D-EE38A4E00451}">
  <sheetPr codeName="Sheet13"/>
  <dimension ref="A1:K12"/>
  <sheetViews>
    <sheetView workbookViewId="0">
      <selection activeCell="E3" sqref="E3:J12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58</v>
      </c>
      <c r="G3" s="3">
        <v>9.0443903920922502E-5</v>
      </c>
      <c r="H3" s="2">
        <v>1.0251405917743901</v>
      </c>
      <c r="I3" s="4">
        <v>1.07638953594</v>
      </c>
      <c r="J3" s="2">
        <v>0.89519942120923701</v>
      </c>
      <c r="K3" s="3"/>
    </row>
    <row r="4" spans="1:11" x14ac:dyDescent="0.2">
      <c r="A4" t="s">
        <v>3</v>
      </c>
      <c r="B4">
        <v>1E-4</v>
      </c>
      <c r="E4">
        <v>2</v>
      </c>
      <c r="F4">
        <v>39</v>
      </c>
      <c r="G4" s="3">
        <v>8.7607975772298794E-5</v>
      </c>
      <c r="H4" s="2">
        <v>1.03278314357187</v>
      </c>
      <c r="I4" s="4">
        <v>1.1087292680329499</v>
      </c>
      <c r="J4" s="2">
        <v>0.91574601716574699</v>
      </c>
      <c r="K4" s="3"/>
    </row>
    <row r="5" spans="1:11" x14ac:dyDescent="0.2">
      <c r="A5" t="s">
        <v>4</v>
      </c>
      <c r="B5">
        <v>0.9</v>
      </c>
      <c r="E5">
        <v>3</v>
      </c>
      <c r="F5">
        <v>34</v>
      </c>
      <c r="G5" s="3">
        <v>9.4922506302045601E-5</v>
      </c>
      <c r="H5" s="2">
        <v>1.05274831001633</v>
      </c>
      <c r="I5" s="4">
        <v>1.08452555907758</v>
      </c>
      <c r="J5" s="2">
        <v>0.90641910581028395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52</v>
      </c>
      <c r="G6" s="3">
        <v>9.3768021014902696E-5</v>
      </c>
      <c r="H6" s="2">
        <v>1.03473491873354</v>
      </c>
      <c r="I6" s="4">
        <v>1.08510729165047</v>
      </c>
      <c r="J6" s="2">
        <v>0.90214009959850605</v>
      </c>
      <c r="K6" s="3"/>
    </row>
    <row r="7" spans="1:11" x14ac:dyDescent="0.2">
      <c r="A7" t="s">
        <v>6</v>
      </c>
      <c r="B7">
        <v>0.65</v>
      </c>
      <c r="E7">
        <v>5</v>
      </c>
      <c r="F7">
        <v>38</v>
      </c>
      <c r="G7" s="3">
        <v>9.5740418717478294E-5</v>
      </c>
      <c r="H7" s="2">
        <v>1.0517738345590699</v>
      </c>
      <c r="I7" s="4">
        <v>1.0968347360741699</v>
      </c>
      <c r="J7" s="2">
        <v>0.91467320803441698</v>
      </c>
      <c r="K7" s="3"/>
    </row>
    <row r="8" spans="1:11" x14ac:dyDescent="0.2">
      <c r="A8" t="s">
        <v>7</v>
      </c>
      <c r="B8">
        <v>100</v>
      </c>
      <c r="E8">
        <v>6</v>
      </c>
      <c r="F8">
        <v>40</v>
      </c>
      <c r="G8" s="3">
        <v>9.4983590842528896E-5</v>
      </c>
      <c r="H8" s="2">
        <v>1.01119902250844</v>
      </c>
      <c r="I8" s="4">
        <v>1.06531020638463</v>
      </c>
      <c r="J8" s="2">
        <v>0.886744593501678</v>
      </c>
      <c r="K8" s="3"/>
    </row>
    <row r="9" spans="1:11" x14ac:dyDescent="0.2">
      <c r="E9">
        <v>7</v>
      </c>
      <c r="F9">
        <v>45</v>
      </c>
      <c r="G9" s="3">
        <v>9.9861094738082801E-5</v>
      </c>
      <c r="H9" s="2">
        <v>1.0152295202975501</v>
      </c>
      <c r="I9" s="4">
        <v>1.08583214002683</v>
      </c>
      <c r="J9" s="2">
        <v>0.90203813400302302</v>
      </c>
      <c r="K9" s="3"/>
    </row>
    <row r="10" spans="1:11" x14ac:dyDescent="0.2">
      <c r="A10" t="s">
        <v>14</v>
      </c>
      <c r="B10" s="5">
        <f>AVERAGE(F3:F12)</f>
        <v>43.1</v>
      </c>
      <c r="E10">
        <v>8</v>
      </c>
      <c r="F10">
        <v>35</v>
      </c>
      <c r="G10" s="3">
        <v>9.8727240366351001E-5</v>
      </c>
      <c r="H10" s="2">
        <v>1.01656203668071</v>
      </c>
      <c r="I10" s="4">
        <v>1.1091659283028401</v>
      </c>
      <c r="J10" s="2">
        <v>0.914716392483644</v>
      </c>
      <c r="K10" s="3"/>
    </row>
    <row r="11" spans="1:11" x14ac:dyDescent="0.2">
      <c r="A11" t="s">
        <v>23</v>
      </c>
      <c r="B11" s="5">
        <f>_xlfn.STDEV.S(F3:F12)</f>
        <v>7.5638026885364527</v>
      </c>
      <c r="E11">
        <v>9</v>
      </c>
      <c r="F11">
        <v>44</v>
      </c>
      <c r="G11" s="3">
        <v>8.9201685520389303E-5</v>
      </c>
      <c r="H11" s="2">
        <v>1.0385869859733301</v>
      </c>
      <c r="I11" s="4">
        <v>1.0816215499473101</v>
      </c>
      <c r="J11" s="2">
        <v>0.90058979570708197</v>
      </c>
      <c r="K11" s="3"/>
    </row>
    <row r="12" spans="1:11" x14ac:dyDescent="0.2">
      <c r="E12">
        <v>10</v>
      </c>
      <c r="F12">
        <v>46</v>
      </c>
      <c r="G12" s="3">
        <v>9.1527230286037696E-5</v>
      </c>
      <c r="H12" s="2">
        <v>1.0184202803881499</v>
      </c>
      <c r="I12" s="4">
        <v>1.0780721072869801</v>
      </c>
      <c r="J12" s="2">
        <v>0.89477088835373497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3907-4C71-E549-91D6-BF438CE638B5}">
  <sheetPr codeName="Sheet14"/>
  <dimension ref="A1:K12"/>
  <sheetViews>
    <sheetView workbookViewId="0">
      <selection activeCell="E3" sqref="E3:J12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50</v>
      </c>
      <c r="G3" s="3">
        <v>9.09510595118545E-5</v>
      </c>
      <c r="H3" s="2">
        <v>1.0502064990895399</v>
      </c>
      <c r="I3" s="4">
        <v>1.0819324744182199</v>
      </c>
      <c r="J3" s="2">
        <v>0.90383243467806995</v>
      </c>
      <c r="K3" s="3"/>
    </row>
    <row r="4" spans="1:11" x14ac:dyDescent="0.2">
      <c r="A4" t="s">
        <v>3</v>
      </c>
      <c r="B4">
        <v>1E-4</v>
      </c>
      <c r="E4">
        <v>2</v>
      </c>
      <c r="F4">
        <v>29</v>
      </c>
      <c r="G4" s="3">
        <v>8.8041295615007495E-5</v>
      </c>
      <c r="H4" s="2">
        <v>1.01199604369601</v>
      </c>
      <c r="I4" s="4">
        <v>1.07223425270049</v>
      </c>
      <c r="J4" s="2">
        <v>0.88889917246309502</v>
      </c>
      <c r="K4" s="3"/>
    </row>
    <row r="5" spans="1:11" x14ac:dyDescent="0.2">
      <c r="A5" t="s">
        <v>4</v>
      </c>
      <c r="B5">
        <v>0.9</v>
      </c>
      <c r="E5">
        <v>3</v>
      </c>
      <c r="F5">
        <v>49</v>
      </c>
      <c r="G5" s="3">
        <v>9.5151675451546594E-5</v>
      </c>
      <c r="H5" s="2">
        <v>1.02839546024562</v>
      </c>
      <c r="I5" s="4">
        <v>1.0706573751444901</v>
      </c>
      <c r="J5" s="2">
        <v>0.89391471226464803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45</v>
      </c>
      <c r="G6" s="3">
        <v>9.8412482895615604E-5</v>
      </c>
      <c r="H6" s="2">
        <v>1.04707816239673</v>
      </c>
      <c r="I6" s="4">
        <v>1.07559274181831</v>
      </c>
      <c r="J6" s="2">
        <v>0.90047907121327297</v>
      </c>
      <c r="K6" s="3"/>
    </row>
    <row r="7" spans="1:11" x14ac:dyDescent="0.2">
      <c r="A7" t="s">
        <v>6</v>
      </c>
      <c r="B7">
        <v>0.7</v>
      </c>
      <c r="E7">
        <v>5</v>
      </c>
      <c r="F7">
        <v>42</v>
      </c>
      <c r="G7" s="3">
        <v>9.8651684041618001E-5</v>
      </c>
      <c r="H7" s="2">
        <v>1.01319722374248</v>
      </c>
      <c r="I7" s="4">
        <v>1.07508634299853</v>
      </c>
      <c r="J7" s="2">
        <v>0.89285420129228799</v>
      </c>
      <c r="K7" s="3"/>
    </row>
    <row r="8" spans="1:11" x14ac:dyDescent="0.2">
      <c r="A8" t="s">
        <v>7</v>
      </c>
      <c r="B8">
        <v>100</v>
      </c>
      <c r="E8">
        <v>6</v>
      </c>
      <c r="F8">
        <v>43</v>
      </c>
      <c r="G8" s="3">
        <v>9.60932062021498E-5</v>
      </c>
      <c r="H8" s="2">
        <v>1.05439545374687</v>
      </c>
      <c r="I8" s="4">
        <v>1.0632726226411799</v>
      </c>
      <c r="J8" s="2">
        <v>0.89407662819776501</v>
      </c>
      <c r="K8" s="3"/>
    </row>
    <row r="9" spans="1:11" x14ac:dyDescent="0.2">
      <c r="E9">
        <v>7</v>
      </c>
      <c r="F9">
        <v>30</v>
      </c>
      <c r="G9" s="3">
        <v>9.1111348795395997E-5</v>
      </c>
      <c r="H9" s="2">
        <v>1.0142164380099199</v>
      </c>
      <c r="I9" s="4">
        <v>1.05067984327937</v>
      </c>
      <c r="J9" s="2">
        <v>0.87662879272750704</v>
      </c>
      <c r="K9" s="3"/>
    </row>
    <row r="10" spans="1:11" x14ac:dyDescent="0.2">
      <c r="A10" t="s">
        <v>14</v>
      </c>
      <c r="B10" s="5">
        <f>AVERAGE(F3:F12)</f>
        <v>43.6</v>
      </c>
      <c r="E10">
        <v>8</v>
      </c>
      <c r="F10">
        <v>46</v>
      </c>
      <c r="G10" s="3">
        <v>9.9230939156154805E-5</v>
      </c>
      <c r="H10" s="2">
        <v>1.00416542773345</v>
      </c>
      <c r="I10" s="4">
        <v>1.0800268421224</v>
      </c>
      <c r="J10" s="2">
        <v>0.89467754807073097</v>
      </c>
      <c r="K10" s="3"/>
    </row>
    <row r="11" spans="1:11" x14ac:dyDescent="0.2">
      <c r="A11" t="s">
        <v>23</v>
      </c>
      <c r="B11" s="5">
        <f>_xlfn.STDEV.S(F3:F12)</f>
        <v>8.5660829891951167</v>
      </c>
      <c r="E11">
        <v>9</v>
      </c>
      <c r="F11">
        <v>45</v>
      </c>
      <c r="G11" s="3">
        <v>9.7272898437085904E-5</v>
      </c>
      <c r="H11" s="2">
        <v>1.0523768502670701</v>
      </c>
      <c r="I11" s="4">
        <v>1.10033176401212</v>
      </c>
      <c r="J11" s="2">
        <v>0.91932171196107004</v>
      </c>
      <c r="K11" s="3"/>
    </row>
    <row r="12" spans="1:11" x14ac:dyDescent="0.2">
      <c r="E12">
        <v>10</v>
      </c>
      <c r="F12">
        <v>57</v>
      </c>
      <c r="G12" s="3">
        <v>8.8973741595508394E-5</v>
      </c>
      <c r="H12" s="2">
        <v>1.0270479242178201</v>
      </c>
      <c r="I12" s="4">
        <v>1.0747582052354501</v>
      </c>
      <c r="J12" s="2">
        <v>0.89466189644182104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086F-BCA3-FA48-A070-97BC3051C187}">
  <sheetPr codeName="Sheet15"/>
  <dimension ref="A1:K12"/>
  <sheetViews>
    <sheetView workbookViewId="0">
      <selection activeCell="G14" sqref="G14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49</v>
      </c>
      <c r="G3" s="3">
        <v>9.4860092185463198E-5</v>
      </c>
      <c r="H3" s="2">
        <v>1.0020926747455901</v>
      </c>
      <c r="I3" s="4">
        <v>1.0927863378837299</v>
      </c>
      <c r="J3" s="2">
        <v>0.89863851698044905</v>
      </c>
      <c r="K3" s="3"/>
    </row>
    <row r="4" spans="1:11" x14ac:dyDescent="0.2">
      <c r="A4" t="s">
        <v>3</v>
      </c>
      <c r="B4">
        <v>1E-4</v>
      </c>
      <c r="E4">
        <v>2</v>
      </c>
      <c r="F4">
        <v>56</v>
      </c>
      <c r="G4" s="3">
        <v>8.8871011379654296E-5</v>
      </c>
      <c r="H4" s="2">
        <v>1.0381403760614201</v>
      </c>
      <c r="I4" s="4">
        <v>1.06794907567099</v>
      </c>
      <c r="J4" s="2">
        <v>0.89205454506003701</v>
      </c>
      <c r="K4" s="3"/>
    </row>
    <row r="5" spans="1:11" x14ac:dyDescent="0.2">
      <c r="A5" t="s">
        <v>4</v>
      </c>
      <c r="B5">
        <v>0.9</v>
      </c>
      <c r="E5">
        <v>3</v>
      </c>
      <c r="F5">
        <v>47</v>
      </c>
      <c r="G5" s="3">
        <v>9.6278194313954998E-5</v>
      </c>
      <c r="H5" s="2">
        <v>1.0412447085434799</v>
      </c>
      <c r="I5" s="4">
        <v>1.0825201901684101</v>
      </c>
      <c r="J5" s="2">
        <v>0.90324620187821902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49</v>
      </c>
      <c r="G6" s="3">
        <v>8.8620272533472097E-5</v>
      </c>
      <c r="H6" s="2">
        <v>1.0251212433421</v>
      </c>
      <c r="I6" s="4">
        <v>1.0796362299456099</v>
      </c>
      <c r="J6" s="2">
        <v>0.89620918674178696</v>
      </c>
      <c r="K6" s="3"/>
    </row>
    <row r="7" spans="1:11" x14ac:dyDescent="0.2">
      <c r="A7" t="s">
        <v>6</v>
      </c>
      <c r="B7">
        <v>0.75</v>
      </c>
      <c r="E7">
        <v>5</v>
      </c>
      <c r="F7">
        <v>52</v>
      </c>
      <c r="G7" s="3">
        <v>9.53444536405172E-5</v>
      </c>
      <c r="H7" s="2">
        <v>1.04962541872897</v>
      </c>
      <c r="I7" s="4">
        <v>1.08916736884901</v>
      </c>
      <c r="J7" s="2">
        <v>0.91093252746168996</v>
      </c>
      <c r="K7" s="3"/>
    </row>
    <row r="8" spans="1:11" x14ac:dyDescent="0.2">
      <c r="A8" t="s">
        <v>7</v>
      </c>
      <c r="B8">
        <v>100</v>
      </c>
      <c r="E8">
        <v>6</v>
      </c>
      <c r="F8">
        <v>44</v>
      </c>
      <c r="G8" s="3">
        <v>9.9541982734589006E-5</v>
      </c>
      <c r="H8" s="2">
        <v>1.0433987749862801</v>
      </c>
      <c r="I8" s="4">
        <v>1.07109416196235</v>
      </c>
      <c r="J8" s="2">
        <v>0.898434813435394</v>
      </c>
      <c r="K8" s="3"/>
    </row>
    <row r="9" spans="1:11" x14ac:dyDescent="0.2">
      <c r="E9">
        <v>7</v>
      </c>
      <c r="F9">
        <v>46</v>
      </c>
      <c r="G9" s="3">
        <v>9.2504873556309693E-5</v>
      </c>
      <c r="H9" s="2">
        <v>1.0126735961520199</v>
      </c>
      <c r="I9" s="4">
        <v>1.0758797451737601</v>
      </c>
      <c r="J9" s="2">
        <v>0.89266334355747101</v>
      </c>
      <c r="K9" s="3"/>
    </row>
    <row r="10" spans="1:11" x14ac:dyDescent="0.2">
      <c r="A10" t="s">
        <v>14</v>
      </c>
      <c r="B10" s="5">
        <f>AVERAGE(F3:F12)</f>
        <v>47.6</v>
      </c>
      <c r="E10">
        <v>8</v>
      </c>
      <c r="F10">
        <v>40</v>
      </c>
      <c r="G10" s="3">
        <v>9.8945690476162204E-5</v>
      </c>
      <c r="H10" s="2">
        <v>1.0436067674702001</v>
      </c>
      <c r="I10" s="4">
        <v>1.0724843307504399</v>
      </c>
      <c r="J10" s="2">
        <v>0.90077811156110998</v>
      </c>
      <c r="K10" s="3"/>
    </row>
    <row r="11" spans="1:11" x14ac:dyDescent="0.2">
      <c r="A11" t="s">
        <v>23</v>
      </c>
      <c r="B11" s="5">
        <f>_xlfn.STDEV.S(F3:F12)</f>
        <v>4.4020197384584474</v>
      </c>
      <c r="E11">
        <v>9</v>
      </c>
      <c r="F11">
        <v>45</v>
      </c>
      <c r="G11" s="3">
        <v>9.9202616286582696E-5</v>
      </c>
      <c r="H11" s="2">
        <v>1.0400844783279499</v>
      </c>
      <c r="I11" s="4">
        <v>1.07225534347044</v>
      </c>
      <c r="J11" s="2">
        <v>0.89873781202713299</v>
      </c>
      <c r="K11" s="3"/>
    </row>
    <row r="12" spans="1:11" x14ac:dyDescent="0.2">
      <c r="E12">
        <v>10</v>
      </c>
      <c r="F12">
        <v>48</v>
      </c>
      <c r="G12" s="3">
        <v>9.3917830401555002E-5</v>
      </c>
      <c r="H12" s="2">
        <v>1.0447423728583201</v>
      </c>
      <c r="I12" s="4">
        <v>1.0663458259446299</v>
      </c>
      <c r="J12" s="2">
        <v>0.89448535929119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65CE-C1AD-0A40-B20B-78AE305ACA7F}">
  <sheetPr codeName="Sheet16"/>
  <dimension ref="A1:K12"/>
  <sheetViews>
    <sheetView workbookViewId="0">
      <selection activeCell="C15" sqref="C15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45</v>
      </c>
      <c r="G3" s="3">
        <v>9.3073816011193995E-5</v>
      </c>
      <c r="H3" s="2">
        <v>1.04922661266402</v>
      </c>
      <c r="I3" s="4">
        <v>1.05303979889883</v>
      </c>
      <c r="J3" s="2">
        <v>0.88634431334962205</v>
      </c>
      <c r="K3" s="3"/>
    </row>
    <row r="4" spans="1:11" x14ac:dyDescent="0.2">
      <c r="A4" t="s">
        <v>3</v>
      </c>
      <c r="B4">
        <v>1E-4</v>
      </c>
      <c r="E4">
        <v>2</v>
      </c>
      <c r="F4">
        <v>46</v>
      </c>
      <c r="G4" s="3">
        <v>9.5866274332594503E-5</v>
      </c>
      <c r="H4" s="2">
        <v>1.05481135831762</v>
      </c>
      <c r="I4" s="4">
        <v>1.0891111856214</v>
      </c>
      <c r="J4" s="2">
        <v>0.910517474173967</v>
      </c>
      <c r="K4" s="3"/>
    </row>
    <row r="5" spans="1:11" x14ac:dyDescent="0.2">
      <c r="A5" t="s">
        <v>4</v>
      </c>
      <c r="B5">
        <v>0.9</v>
      </c>
      <c r="E5">
        <v>3</v>
      </c>
      <c r="F5">
        <v>41</v>
      </c>
      <c r="G5" s="3">
        <v>8.6025733158739804E-5</v>
      </c>
      <c r="H5" s="2">
        <v>1.0539197790952199</v>
      </c>
      <c r="I5" s="4">
        <v>1.0897358769576999</v>
      </c>
      <c r="J5" s="2">
        <v>0.90904439764161304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29</v>
      </c>
      <c r="G6" s="3">
        <v>9.3882463507746297E-5</v>
      </c>
      <c r="H6" s="2">
        <v>1.02430740536869</v>
      </c>
      <c r="I6" s="4">
        <v>1.08597848902488</v>
      </c>
      <c r="J6" s="2">
        <v>0.90309252926643402</v>
      </c>
      <c r="K6" s="3"/>
    </row>
    <row r="7" spans="1:11" x14ac:dyDescent="0.2">
      <c r="A7" t="s">
        <v>6</v>
      </c>
      <c r="B7">
        <v>0.8</v>
      </c>
      <c r="E7">
        <v>5</v>
      </c>
      <c r="F7">
        <v>43</v>
      </c>
      <c r="G7" s="3">
        <v>9.1180552321470302E-5</v>
      </c>
      <c r="H7" s="2">
        <v>1.0222712710334401</v>
      </c>
      <c r="I7" s="4">
        <v>1.0780253610619399</v>
      </c>
      <c r="J7" s="2">
        <v>0.89444262754326997</v>
      </c>
      <c r="K7" s="3"/>
    </row>
    <row r="8" spans="1:11" x14ac:dyDescent="0.2">
      <c r="A8" t="s">
        <v>7</v>
      </c>
      <c r="B8">
        <v>100</v>
      </c>
      <c r="E8">
        <v>6</v>
      </c>
      <c r="F8">
        <v>38</v>
      </c>
      <c r="G8" s="3">
        <v>8.5390478757827105E-5</v>
      </c>
      <c r="H8" s="2">
        <v>1.05276054423817</v>
      </c>
      <c r="I8" s="4">
        <v>1.0663367694110999</v>
      </c>
      <c r="J8" s="2">
        <v>0.89389457744012502</v>
      </c>
      <c r="K8" s="3"/>
    </row>
    <row r="9" spans="1:11" x14ac:dyDescent="0.2">
      <c r="E9">
        <v>7</v>
      </c>
      <c r="F9">
        <v>51</v>
      </c>
      <c r="G9" s="3">
        <v>9.5298347021090501E-5</v>
      </c>
      <c r="H9" s="2">
        <v>1.0690398535557399</v>
      </c>
      <c r="I9" s="4">
        <v>1.05496084359025</v>
      </c>
      <c r="J9" s="2">
        <v>0.89273806680193601</v>
      </c>
      <c r="K9" s="3"/>
    </row>
    <row r="10" spans="1:11" x14ac:dyDescent="0.2">
      <c r="A10" t="s">
        <v>14</v>
      </c>
      <c r="B10" s="5">
        <f>AVERAGE(F3:F12)</f>
        <v>42.6</v>
      </c>
      <c r="E10">
        <v>8</v>
      </c>
      <c r="F10">
        <v>44</v>
      </c>
      <c r="G10" s="3">
        <v>9.5707363007984495E-5</v>
      </c>
      <c r="H10" s="2">
        <v>1.0070882712670099</v>
      </c>
      <c r="I10" s="4">
        <v>1.0659169527757499</v>
      </c>
      <c r="J10" s="2">
        <v>0.88592550349921395</v>
      </c>
      <c r="K10" s="3"/>
    </row>
    <row r="11" spans="1:11" x14ac:dyDescent="0.2">
      <c r="A11" t="s">
        <v>23</v>
      </c>
      <c r="B11" s="5">
        <f>_xlfn.STDEV.S(F3:F12)</f>
        <v>6.0589694760009536</v>
      </c>
      <c r="E11">
        <v>9</v>
      </c>
      <c r="F11">
        <v>48</v>
      </c>
      <c r="G11" s="3">
        <v>9.84048535113374E-5</v>
      </c>
      <c r="H11" s="2">
        <v>1.08813921910964</v>
      </c>
      <c r="I11" s="4">
        <v>1.0960328670415</v>
      </c>
      <c r="J11" s="2">
        <v>0.92279868275396604</v>
      </c>
      <c r="K11" s="3"/>
    </row>
    <row r="12" spans="1:11" x14ac:dyDescent="0.2">
      <c r="E12">
        <v>10</v>
      </c>
      <c r="F12">
        <v>41</v>
      </c>
      <c r="G12" s="3">
        <v>8.6971729642932599E-5</v>
      </c>
      <c r="H12" s="2">
        <v>1.03619821574032</v>
      </c>
      <c r="I12" s="4">
        <v>1.0943535795030099</v>
      </c>
      <c r="J12" s="2">
        <v>0.90751131677757502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93FF-5E75-3E46-8AE2-07177748EAAC}">
  <sheetPr codeName="Sheet17"/>
  <dimension ref="A1:K12"/>
  <sheetViews>
    <sheetView workbookViewId="0">
      <selection activeCell="E3" sqref="E3:J12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44</v>
      </c>
      <c r="G3" s="3">
        <v>9.9325801612846104E-5</v>
      </c>
      <c r="H3" s="2">
        <v>1.0464356140914</v>
      </c>
      <c r="I3" s="4">
        <v>1.0933557914319501</v>
      </c>
      <c r="J3" s="2">
        <v>0.91283404626614695</v>
      </c>
      <c r="K3" s="3"/>
    </row>
    <row r="4" spans="1:11" x14ac:dyDescent="0.2">
      <c r="A4" t="s">
        <v>3</v>
      </c>
      <c r="B4">
        <v>1E-4</v>
      </c>
      <c r="E4">
        <v>2</v>
      </c>
      <c r="F4">
        <v>47</v>
      </c>
      <c r="G4" s="3">
        <v>9.5159982188147398E-5</v>
      </c>
      <c r="H4" s="2">
        <v>1.01594634992039</v>
      </c>
      <c r="I4" s="4">
        <v>1.1003620571228601</v>
      </c>
      <c r="J4" s="2">
        <v>0.90860392977599302</v>
      </c>
      <c r="K4" s="3"/>
    </row>
    <row r="5" spans="1:11" x14ac:dyDescent="0.2">
      <c r="A5" t="s">
        <v>4</v>
      </c>
      <c r="B5">
        <v>0.9</v>
      </c>
      <c r="E5">
        <v>3</v>
      </c>
      <c r="F5">
        <v>45</v>
      </c>
      <c r="G5" s="3">
        <v>9.4625506126553397E-5</v>
      </c>
      <c r="H5" s="2">
        <v>1.06264975452495</v>
      </c>
      <c r="I5" s="4">
        <v>1.05918929163063</v>
      </c>
      <c r="J5" s="2">
        <v>0.89607989509221897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40</v>
      </c>
      <c r="G6" s="3">
        <v>9.8550551850162203E-5</v>
      </c>
      <c r="H6" s="2">
        <v>1.0613229590711699</v>
      </c>
      <c r="I6" s="4">
        <v>1.09622291523149</v>
      </c>
      <c r="J6" s="2">
        <v>0.91691508056550697</v>
      </c>
      <c r="K6" s="3"/>
    </row>
    <row r="7" spans="1:11" x14ac:dyDescent="0.2">
      <c r="A7" t="s">
        <v>6</v>
      </c>
      <c r="B7">
        <v>0.85</v>
      </c>
      <c r="E7">
        <v>5</v>
      </c>
      <c r="F7">
        <v>43</v>
      </c>
      <c r="G7" s="3">
        <v>9.4769539480787503E-5</v>
      </c>
      <c r="H7" s="2">
        <v>1.0524559865577701</v>
      </c>
      <c r="I7" s="4">
        <v>1.06956491853508</v>
      </c>
      <c r="J7" s="2">
        <v>0.89874691540214502</v>
      </c>
      <c r="K7" s="3"/>
    </row>
    <row r="8" spans="1:11" x14ac:dyDescent="0.2">
      <c r="A8" t="s">
        <v>7</v>
      </c>
      <c r="B8">
        <v>100</v>
      </c>
      <c r="E8">
        <v>6</v>
      </c>
      <c r="F8">
        <v>47</v>
      </c>
      <c r="G8" s="3">
        <v>8.4457932373767705E-5</v>
      </c>
      <c r="H8" s="2">
        <v>1.0556376209281699</v>
      </c>
      <c r="I8" s="4">
        <v>1.10216706435593</v>
      </c>
      <c r="J8" s="2">
        <v>0.91418673682240004</v>
      </c>
      <c r="K8" s="3"/>
    </row>
    <row r="9" spans="1:11" x14ac:dyDescent="0.2">
      <c r="E9">
        <v>7</v>
      </c>
      <c r="F9">
        <v>36</v>
      </c>
      <c r="G9" s="3">
        <v>9.2699309201154997E-5</v>
      </c>
      <c r="H9" s="2">
        <v>1.02596400797124</v>
      </c>
      <c r="I9" s="4">
        <v>1.0706816540014801</v>
      </c>
      <c r="J9" s="2">
        <v>0.89259540696028805</v>
      </c>
      <c r="K9" s="3"/>
    </row>
    <row r="10" spans="1:11" x14ac:dyDescent="0.2">
      <c r="A10" t="s">
        <v>14</v>
      </c>
      <c r="B10" s="5">
        <f>AVERAGE(F3:F12)</f>
        <v>42.7</v>
      </c>
      <c r="E10">
        <v>8</v>
      </c>
      <c r="F10">
        <v>44</v>
      </c>
      <c r="G10" s="3">
        <v>9.3431252317937194E-5</v>
      </c>
      <c r="H10" s="2">
        <v>1.0206295186407801</v>
      </c>
      <c r="I10" s="4">
        <v>1.0736570807738799</v>
      </c>
      <c r="J10" s="2">
        <v>0.894823345112711</v>
      </c>
      <c r="K10" s="3"/>
    </row>
    <row r="11" spans="1:11" x14ac:dyDescent="0.2">
      <c r="A11" t="s">
        <v>23</v>
      </c>
      <c r="B11" s="5">
        <f>_xlfn.STDEV.S(F3:F12)</f>
        <v>4.0565447804203467</v>
      </c>
      <c r="E11">
        <v>9</v>
      </c>
      <c r="F11">
        <v>45</v>
      </c>
      <c r="G11" s="3">
        <v>9.3469490270809894E-5</v>
      </c>
      <c r="H11" s="2">
        <v>1.0160879718381901</v>
      </c>
      <c r="I11" s="4">
        <v>1.0973115304796801</v>
      </c>
      <c r="J11" s="2">
        <v>0.90806067180658701</v>
      </c>
      <c r="K11" s="3"/>
    </row>
    <row r="12" spans="1:11" x14ac:dyDescent="0.2">
      <c r="E12">
        <v>10</v>
      </c>
      <c r="F12">
        <v>36</v>
      </c>
      <c r="G12" s="3">
        <v>9.7153639832548702E-5</v>
      </c>
      <c r="H12" s="2">
        <v>1.0025884358377</v>
      </c>
      <c r="I12" s="4">
        <v>1.09576046768818</v>
      </c>
      <c r="J12" s="2">
        <v>0.90352619363120401</v>
      </c>
      <c r="K12" s="3"/>
    </row>
  </sheetData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8EED-28EE-6145-A33A-0B65C344EED1}">
  <sheetPr codeName="Sheet18"/>
  <dimension ref="A1:K12"/>
  <sheetViews>
    <sheetView workbookViewId="0">
      <selection activeCell="K18" sqref="K18"/>
    </sheetView>
  </sheetViews>
  <sheetFormatPr baseColWidth="10" defaultRowHeight="16" x14ac:dyDescent="0.2"/>
  <cols>
    <col min="1" max="1" width="17.1640625" customWidth="1"/>
    <col min="7" max="7" width="12.33203125" bestFit="1" customWidth="1"/>
    <col min="8" max="10" width="11.33203125" customWidth="1"/>
  </cols>
  <sheetData>
    <row r="1" spans="1:11" x14ac:dyDescent="0.2">
      <c r="A1" t="s">
        <v>0</v>
      </c>
    </row>
    <row r="2" spans="1:11" x14ac:dyDescent="0.2">
      <c r="A2" t="s">
        <v>1</v>
      </c>
      <c r="B2">
        <v>10000</v>
      </c>
      <c r="E2" t="s">
        <v>8</v>
      </c>
      <c r="F2" t="s">
        <v>13</v>
      </c>
      <c r="G2" t="s">
        <v>12</v>
      </c>
      <c r="H2" t="s">
        <v>9</v>
      </c>
      <c r="I2" t="s">
        <v>10</v>
      </c>
      <c r="J2" t="s">
        <v>11</v>
      </c>
    </row>
    <row r="3" spans="1:11" x14ac:dyDescent="0.2">
      <c r="A3" t="s">
        <v>2</v>
      </c>
      <c r="B3" t="b">
        <v>1</v>
      </c>
      <c r="E3">
        <v>1</v>
      </c>
      <c r="F3">
        <v>50</v>
      </c>
      <c r="G3" s="3">
        <v>9.3693590869487994E-5</v>
      </c>
      <c r="H3" s="2">
        <v>1.0474986523023999</v>
      </c>
      <c r="I3" s="4">
        <v>1.0704285420840001</v>
      </c>
      <c r="J3" s="2">
        <v>0.89660924896175398</v>
      </c>
      <c r="K3" s="3"/>
    </row>
    <row r="4" spans="1:11" x14ac:dyDescent="0.2">
      <c r="A4" t="s">
        <v>3</v>
      </c>
      <c r="B4">
        <v>1E-4</v>
      </c>
      <c r="E4">
        <v>2</v>
      </c>
      <c r="F4">
        <v>44</v>
      </c>
      <c r="G4" s="3">
        <v>9.2508168353053994E-5</v>
      </c>
      <c r="H4" s="2">
        <v>1.0252016786237601</v>
      </c>
      <c r="I4" s="4">
        <v>1.0941210855771799</v>
      </c>
      <c r="J4" s="2">
        <v>0.906362458004489</v>
      </c>
      <c r="K4" s="3"/>
    </row>
    <row r="5" spans="1:11" x14ac:dyDescent="0.2">
      <c r="A5" t="s">
        <v>4</v>
      </c>
      <c r="B5">
        <v>0.9</v>
      </c>
      <c r="E5">
        <v>3</v>
      </c>
      <c r="F5">
        <v>38</v>
      </c>
      <c r="G5" s="3">
        <v>9.6553045790632606E-5</v>
      </c>
      <c r="H5" s="2">
        <v>1.0276420313292201</v>
      </c>
      <c r="I5" s="4">
        <v>1.0648348500843099</v>
      </c>
      <c r="J5" s="2">
        <v>0.88859662299058395</v>
      </c>
      <c r="K5" s="3"/>
    </row>
    <row r="6" spans="1:11" x14ac:dyDescent="0.2">
      <c r="A6" t="s">
        <v>5</v>
      </c>
      <c r="B6" s="1">
        <v>0.05</v>
      </c>
      <c r="E6">
        <v>4</v>
      </c>
      <c r="F6">
        <v>39</v>
      </c>
      <c r="G6" s="3">
        <v>9.7438032418316998E-5</v>
      </c>
      <c r="H6" s="2">
        <v>1.0332021808924801</v>
      </c>
      <c r="I6" s="4">
        <v>1.0598380015366899</v>
      </c>
      <c r="J6" s="2">
        <v>0.88824409620672495</v>
      </c>
      <c r="K6" s="3"/>
    </row>
    <row r="7" spans="1:11" x14ac:dyDescent="0.2">
      <c r="A7" t="s">
        <v>6</v>
      </c>
      <c r="B7">
        <v>0.9</v>
      </c>
      <c r="E7">
        <v>5</v>
      </c>
      <c r="F7">
        <v>44</v>
      </c>
      <c r="G7" s="3">
        <v>9.9225019972994395E-5</v>
      </c>
      <c r="H7" s="2">
        <v>1.036325331609</v>
      </c>
      <c r="I7" s="4">
        <v>1.08256103638505</v>
      </c>
      <c r="J7" s="2">
        <v>0.90487481843995998</v>
      </c>
      <c r="K7" s="3"/>
    </row>
    <row r="8" spans="1:11" x14ac:dyDescent="0.2">
      <c r="A8" t="s">
        <v>7</v>
      </c>
      <c r="B8">
        <v>100</v>
      </c>
      <c r="E8">
        <v>6</v>
      </c>
      <c r="F8">
        <v>49</v>
      </c>
      <c r="G8" s="3">
        <v>9.8130822877651405E-5</v>
      </c>
      <c r="H8" s="2">
        <v>1.0463392590434</v>
      </c>
      <c r="I8" s="4">
        <v>1.06836691906225</v>
      </c>
      <c r="J8" s="2">
        <v>0.89702183149808301</v>
      </c>
      <c r="K8" s="3"/>
    </row>
    <row r="9" spans="1:11" x14ac:dyDescent="0.2">
      <c r="E9">
        <v>7</v>
      </c>
      <c r="F9">
        <v>44</v>
      </c>
      <c r="G9" s="3">
        <v>9.1831267833532597E-5</v>
      </c>
      <c r="H9" s="2">
        <v>1.03810732039362</v>
      </c>
      <c r="I9" s="4">
        <v>1.06400217248775</v>
      </c>
      <c r="J9" s="2">
        <v>0.89191562208456598</v>
      </c>
      <c r="K9" s="3"/>
    </row>
    <row r="10" spans="1:11" x14ac:dyDescent="0.2">
      <c r="A10" t="s">
        <v>14</v>
      </c>
      <c r="B10" s="5">
        <f>AVERAGE(F3:F12)</f>
        <v>44.8</v>
      </c>
      <c r="E10">
        <v>8</v>
      </c>
      <c r="F10">
        <v>45</v>
      </c>
      <c r="G10" s="3">
        <v>9.4811994376378694E-5</v>
      </c>
      <c r="H10" s="2">
        <v>1.03686376195982</v>
      </c>
      <c r="I10" s="4">
        <v>1.09454249645848</v>
      </c>
      <c r="J10" s="2">
        <v>0.91090682606828399</v>
      </c>
      <c r="K10" s="3"/>
    </row>
    <row r="11" spans="1:11" x14ac:dyDescent="0.2">
      <c r="A11" t="s">
        <v>23</v>
      </c>
      <c r="B11" s="5">
        <f>_xlfn.STDEV.S(F3:F12)</f>
        <v>4.4919681407794707</v>
      </c>
      <c r="E11">
        <v>9</v>
      </c>
      <c r="F11">
        <v>52</v>
      </c>
      <c r="G11" s="3">
        <v>9.6998630594628295E-5</v>
      </c>
      <c r="H11" s="2">
        <v>1.0318531545724501</v>
      </c>
      <c r="I11" s="4">
        <v>1.07005851076304</v>
      </c>
      <c r="J11" s="2">
        <v>0.89401348814604198</v>
      </c>
      <c r="K11" s="3"/>
    </row>
    <row r="12" spans="1:11" x14ac:dyDescent="0.2">
      <c r="E12">
        <v>10</v>
      </c>
      <c r="F12">
        <v>43</v>
      </c>
      <c r="G12" s="3">
        <v>9.8798468928812595E-5</v>
      </c>
      <c r="H12" s="2">
        <v>1.0262337187332899</v>
      </c>
      <c r="I12" s="4">
        <v>1.0791310963702301</v>
      </c>
      <c r="J12" s="2">
        <v>0.89908525066566203</v>
      </c>
      <c r="K12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EQ1_0,1</vt:lpstr>
      <vt:lpstr>EQ1_0,15</vt:lpstr>
      <vt:lpstr>EQ1_0,2</vt:lpstr>
      <vt:lpstr>EQ1_0,25</vt:lpstr>
      <vt:lpstr>EQ1_0,3</vt:lpstr>
      <vt:lpstr>EQ1_0,35</vt:lpstr>
      <vt:lpstr>EQ1_0,4</vt:lpstr>
      <vt:lpstr>EQ1_0,45</vt:lpstr>
      <vt:lpstr>EQ1_0,5</vt:lpstr>
      <vt:lpstr>EQ1_0,55</vt:lpstr>
      <vt:lpstr>EQ1_0,6</vt:lpstr>
      <vt:lpstr>EQ1_0,65</vt:lpstr>
      <vt:lpstr>EQ1_0,7</vt:lpstr>
      <vt:lpstr>EQ1_0,75</vt:lpstr>
      <vt:lpstr>EQ1_0,8</vt:lpstr>
      <vt:lpstr>EQ1_0,85</vt:lpstr>
      <vt:lpstr>EQ1_0,9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Philson</dc:creator>
  <cp:lastModifiedBy>Jeremy Philson</cp:lastModifiedBy>
  <dcterms:created xsi:type="dcterms:W3CDTF">2025-12-06T08:04:30Z</dcterms:created>
  <dcterms:modified xsi:type="dcterms:W3CDTF">2025-12-09T07:02:44Z</dcterms:modified>
</cp:coreProperties>
</file>