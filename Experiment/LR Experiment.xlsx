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eremyphilson/Downloads/AI Project/LR Experiment/"/>
    </mc:Choice>
  </mc:AlternateContent>
  <xr:revisionPtr revIDLastSave="0" documentId="13_ncr:1_{BC410315-D21F-444A-8969-9BABD3F6373D}" xr6:coauthVersionLast="47" xr6:coauthVersionMax="47" xr10:uidLastSave="{00000000-0000-0000-0000-000000000000}"/>
  <bookViews>
    <workbookView xWindow="-29420" yWindow="3020" windowWidth="29420" windowHeight="12720" xr2:uid="{98C05A7E-B9EA-964B-A414-3FA9A720A088}"/>
  </bookViews>
  <sheets>
    <sheet name="Summary" sheetId="11" r:id="rId1"/>
    <sheet name="EQ1_0,1" sheetId="1" r:id="rId2"/>
    <sheet name="EQ1_0,15" sheetId="3" r:id="rId3"/>
    <sheet name="EQ1_0,2" sheetId="4" r:id="rId4"/>
    <sheet name="EQ1_0,25" sheetId="5" r:id="rId5"/>
    <sheet name="EQ1_0,3" sheetId="6" r:id="rId6"/>
    <sheet name="EQ1_0,35" sheetId="7" r:id="rId7"/>
    <sheet name="EQ1_0,4" sheetId="8" r:id="rId8"/>
    <sheet name="EQ1_0,45" sheetId="9" r:id="rId9"/>
    <sheet name="EQ1_0,5" sheetId="10" r:id="rId10"/>
    <sheet name="EQ1_0,55" sheetId="12" r:id="rId11"/>
    <sheet name="EQ1_0,6" sheetId="13" r:id="rId12"/>
    <sheet name="EQ1_0,65" sheetId="14" r:id="rId13"/>
    <sheet name="EQ1_0,7" sheetId="15" r:id="rId14"/>
    <sheet name="EQ1_0,75" sheetId="16" r:id="rId15"/>
    <sheet name="EQ1_0,8" sheetId="17" r:id="rId16"/>
    <sheet name="EQ1_0,85" sheetId="18" r:id="rId17"/>
    <sheet name="EQ1_0,9" sheetId="19" r:id="rId18"/>
    <sheet name="EQ1_0,95" sheetId="20" r:id="rId19"/>
    <sheet name="EQ1_1,0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8" l="1"/>
  <c r="B11" i="21"/>
  <c r="B11" i="20"/>
  <c r="B11" i="19"/>
  <c r="B11" i="17"/>
  <c r="B11" i="16"/>
  <c r="B11" i="15"/>
  <c r="B11" i="14"/>
  <c r="B11" i="13"/>
  <c r="B11" i="12"/>
  <c r="B11" i="10"/>
  <c r="B11" i="9"/>
  <c r="B11" i="8"/>
  <c r="B11" i="7"/>
  <c r="B11" i="6"/>
  <c r="B11" i="5"/>
  <c r="B11" i="4"/>
  <c r="B11" i="3"/>
  <c r="B11" i="1"/>
  <c r="B3" i="11"/>
  <c r="A3" i="11"/>
  <c r="B10" i="21"/>
  <c r="B10" i="20"/>
  <c r="B10" i="19"/>
  <c r="B10" i="18"/>
  <c r="B10" i="17"/>
  <c r="B10" i="16"/>
  <c r="B10" i="15"/>
  <c r="B10" i="14"/>
  <c r="B10" i="13"/>
  <c r="B10" i="12"/>
  <c r="B10" i="3"/>
  <c r="B10" i="10"/>
  <c r="B10" i="9"/>
  <c r="B10" i="8"/>
  <c r="B10" i="7"/>
  <c r="B10" i="6"/>
  <c r="B10" i="5"/>
  <c r="B10" i="4"/>
  <c r="B10" i="1"/>
  <c r="B7" i="11" a="1"/>
  <c r="C13" i="11" a="1"/>
  <c r="C12" i="11" a="1"/>
  <c r="C16" i="11" a="1"/>
  <c r="C7" i="11" a="1"/>
  <c r="B8" i="11" a="1"/>
  <c r="B17" i="11" a="1"/>
  <c r="B5" i="11" a="1"/>
  <c r="B6" i="11" a="1"/>
  <c r="C9" i="11" a="1"/>
  <c r="C19" i="11" a="1"/>
  <c r="B18" i="11" a="1"/>
  <c r="C15" i="11" a="1"/>
  <c r="C3" i="11" a="1"/>
  <c r="C14" i="11" a="1"/>
  <c r="B13" i="11" a="1"/>
  <c r="B12" i="11" a="1"/>
  <c r="B11" i="11" a="1"/>
  <c r="C8" i="11" a="1"/>
  <c r="C10" i="11" a="1"/>
  <c r="C4" i="11" a="1"/>
  <c r="B16" i="11" a="1"/>
  <c r="C6" i="11" a="1"/>
  <c r="B19" i="11" a="1"/>
  <c r="B15" i="11" a="1"/>
  <c r="C11" i="11" a="1"/>
  <c r="B14" i="11" a="1"/>
  <c r="B10" i="11" a="1"/>
  <c r="C17" i="11" a="1"/>
  <c r="B9" i="11" a="1"/>
  <c r="C18" i="11" a="1"/>
  <c r="B4" i="11" a="1"/>
  <c r="C5" i="11" a="1"/>
  <c r="C15" i="11" l="1"/>
  <c r="C14" i="11"/>
  <c r="C7" i="11"/>
  <c r="C18" i="11"/>
  <c r="C17" i="11"/>
  <c r="C13" i="11"/>
  <c r="C5" i="11"/>
  <c r="C11" i="11"/>
  <c r="C6" i="11"/>
  <c r="C9" i="11"/>
  <c r="C19" i="11"/>
  <c r="C10" i="11"/>
  <c r="C16" i="11"/>
  <c r="C12" i="11"/>
  <c r="C8" i="11"/>
  <c r="C4" i="11"/>
  <c r="C3" i="11"/>
  <c r="D3" i="11" s="1"/>
  <c r="B17" i="11"/>
  <c r="B13" i="11"/>
  <c r="B9" i="11"/>
  <c r="B18" i="11"/>
  <c r="B14" i="11"/>
  <c r="B8" i="11"/>
  <c r="B6" i="11"/>
  <c r="B19" i="11"/>
  <c r="B15" i="11"/>
  <c r="B11" i="11"/>
  <c r="B7" i="11"/>
  <c r="B16" i="11"/>
  <c r="B12" i="11"/>
  <c r="B10" i="11"/>
  <c r="B5" i="11"/>
  <c r="B4" i="11"/>
  <c r="D16" i="11" l="1"/>
  <c r="D6" i="11"/>
  <c r="D4" i="11"/>
  <c r="D15" i="11"/>
  <c r="D8" i="11"/>
  <c r="D14" i="11"/>
  <c r="D9" i="11"/>
  <c r="D12" i="11"/>
  <c r="D7" i="11"/>
  <c r="D19" i="11"/>
  <c r="D10" i="11"/>
  <c r="D17" i="11"/>
  <c r="D18" i="11"/>
  <c r="D11" i="11"/>
  <c r="D13" i="11"/>
  <c r="D5" i="11"/>
  <c r="B24" i="11" l="1"/>
  <c r="B23" i="11"/>
  <c r="E3" i="11" s="1"/>
  <c r="E13" i="11"/>
  <c r="E15" i="11"/>
  <c r="E8" i="11"/>
  <c r="E16" i="11"/>
  <c r="E10" i="11"/>
  <c r="E19" i="11"/>
  <c r="E5" i="11"/>
  <c r="E6" i="11"/>
  <c r="F19" i="11" l="1"/>
  <c r="E12" i="11"/>
  <c r="E11" i="11"/>
  <c r="E18" i="11"/>
  <c r="E4" i="11"/>
  <c r="F8" i="11" s="1"/>
  <c r="E17" i="11"/>
  <c r="E7" i="11"/>
  <c r="F10" i="11" s="1"/>
  <c r="E9" i="11"/>
  <c r="F5" i="11" s="1"/>
  <c r="E14" i="11"/>
  <c r="F14" i="11" s="1"/>
  <c r="F17" i="11" l="1"/>
  <c r="F13" i="11"/>
  <c r="F15" i="11"/>
  <c r="F9" i="11"/>
  <c r="F7" i="11"/>
  <c r="F6" i="11"/>
  <c r="F4" i="11"/>
  <c r="F18" i="11"/>
  <c r="F11" i="11"/>
  <c r="F12" i="11"/>
  <c r="F16" i="11"/>
  <c r="F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<sst xmlns="http://schemas.openxmlformats.org/spreadsheetml/2006/main" count="312" uniqueCount="24">
  <si>
    <t>Hyperparameters</t>
  </si>
  <si>
    <t>Max epoch</t>
  </si>
  <si>
    <t>useRMSEstop</t>
  </si>
  <si>
    <t>targetRMSE</t>
  </si>
  <si>
    <t>lr</t>
  </si>
  <si>
    <t>eps_fd</t>
  </si>
  <si>
    <t>lambdaFF</t>
  </si>
  <si>
    <t xml:space="preserve">stop time </t>
  </si>
  <si>
    <t>Run</t>
  </si>
  <si>
    <t>Kp</t>
  </si>
  <si>
    <t>Ki</t>
  </si>
  <si>
    <t>Kd</t>
  </si>
  <si>
    <t>RMSE Smooth</t>
  </si>
  <si>
    <t>Last Epoch</t>
  </si>
  <si>
    <t>Average Epoch</t>
  </si>
  <si>
    <t>Lr</t>
  </si>
  <si>
    <t>Avg. Epoch</t>
  </si>
  <si>
    <t>Std. Deviation</t>
  </si>
  <si>
    <t>Standard Deviation</t>
  </si>
  <si>
    <t>Score</t>
  </si>
  <si>
    <t>max</t>
  </si>
  <si>
    <t>min</t>
  </si>
  <si>
    <t>Rank</t>
  </si>
  <si>
    <t>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</si>
</sst>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#,##0.0000"/>
    <numFmt numFmtId="167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5D42-5BC7-E146-9995-07401ABC0342}">
  <sheetPr codeName="Sheet1"/>
  <dimension ref="A2:F24"/>
  <sheetViews>
    <sheetView tabSelected="1" topLeftCell="A2" workbookViewId="0">
      <selection activeCell="G18" sqref="G18"/>
    </sheetView>
  </sheetViews>
  <sheetFormatPr baseColWidth="10" defaultRowHeight="16" x14ac:dyDescent="0.2"/>
  <cols>
    <col min="3" max="3" width="12.33203125" bestFit="1" customWidth="1"/>
    <col min="5" max="5" width="10.83203125" customWidth="1"/>
  </cols>
  <sheetData>
    <row r="2" spans="1:6" x14ac:dyDescent="0.2">
      <c r="A2" t="s">
        <v>15</v>
      </c>
      <c r="B2" t="s">
        <v>16</v>
      </c>
      <c r="C2" t="s">
        <v>17</v>
      </c>
      <c r="D2" t="s">
        <v>19</v>
      </c>
      <c r="E2" t="s">
        <v>23</v>
      </c>
      <c r="F2" t="s">
        <v>22</v>
      </c>
    </row>
    <row r="3" spans="1:6" x14ac:dyDescent="0.2">
      <c r="A3">
        <f>0.1</f>
        <v>0.1</v>
      </c>
      <c r="B3" s="5">
        <f>'EQ1_0,1'!B10</f>
        <v>341.8</v>
      </c>
      <c r="C3" s="5" cm="1">
        <f t="array" aca="1" ref="C3" ca="1">INDIRECT("'EQ1_"&amp;A3&amp;"'!B11")</f>
        <v>78.362122369306917</v>
      </c>
      <c r="D3" s="5">
        <f ca="1">B3+C3*2</f>
        <v>498.52424473861385</v>
      </c>
      <c r="E3" s="5">
        <f t="shared" ref="E3:E21" ca="1" si="0">($B$23-D3)/($B$23-$B$24)*100</f>
        <v>0</v>
      </c>
      <c r="F3">
        <f ca="1">_xlfn.RANK.EQ(E3,$E$3:$E$19,0)</f>
        <v>17</v>
      </c>
    </row>
    <row r="4" spans="1:6" x14ac:dyDescent="0.2">
      <c r="A4">
        <v>0.15</v>
      </c>
      <c r="B4" s="5" cm="1">
        <f t="array" aca="1" ref="B4" ca="1">INDIRECT("'EQ1_"&amp;A4&amp;"'!B10")</f>
        <v>243.3</v>
      </c>
      <c r="C4" s="5" cm="1">
        <f t="array" aca="1" ref="C4" ca="1">INDIRECT("'EQ1_"&amp;A4&amp;"'!B11")</f>
        <v>44.986541197216823</v>
      </c>
      <c r="D4" s="5">
        <f t="shared" ref="D4:D21" ca="1" si="1">B4+C4*2</f>
        <v>333.27308239443369</v>
      </c>
      <c r="E4" s="5">
        <f t="shared" ca="1" si="0"/>
        <v>37.155650843843219</v>
      </c>
      <c r="F4">
        <f t="shared" ref="F4:F19" ca="1" si="2">_xlfn.RANK.EQ(E4,$E$3:$E$19,0)</f>
        <v>16</v>
      </c>
    </row>
    <row r="5" spans="1:6" x14ac:dyDescent="0.2">
      <c r="A5">
        <v>0.2</v>
      </c>
      <c r="B5" s="5" cm="1">
        <f t="array" aca="1" ref="B5" ca="1">INDIRECT("'EQ1_"&amp;A5&amp;"'!B10")</f>
        <v>197.6</v>
      </c>
      <c r="C5" s="5" cm="1">
        <f t="array" aca="1" ref="C5" ca="1">INDIRECT("'EQ1_"&amp;A5&amp;"'!B11")</f>
        <v>22.217110523198162</v>
      </c>
      <c r="D5" s="5">
        <f t="shared" ca="1" si="1"/>
        <v>242.03422104639631</v>
      </c>
      <c r="E5" s="5">
        <f t="shared" ca="1" si="0"/>
        <v>57.670116385554969</v>
      </c>
      <c r="F5">
        <f t="shared" ca="1" si="2"/>
        <v>15</v>
      </c>
    </row>
    <row r="6" spans="1:6" x14ac:dyDescent="0.2">
      <c r="A6">
        <v>0.25</v>
      </c>
      <c r="B6" s="5" cm="1">
        <f t="array" aca="1" ref="B6" ca="1">INDIRECT("'EQ1_"&amp;A6&amp;"'!B10")</f>
        <v>147.80000000000001</v>
      </c>
      <c r="C6" s="5" cm="1">
        <f t="array" aca="1" ref="C6" ca="1">INDIRECT("'EQ1_"&amp;A6&amp;"'!B11")</f>
        <v>23.639890956695318</v>
      </c>
      <c r="D6" s="5">
        <f t="shared" ca="1" si="1"/>
        <v>195.07978191339066</v>
      </c>
      <c r="E6" s="5">
        <f t="shared" ca="1" si="0"/>
        <v>68.227517139933923</v>
      </c>
      <c r="F6">
        <f t="shared" ca="1" si="2"/>
        <v>14</v>
      </c>
    </row>
    <row r="7" spans="1:6" x14ac:dyDescent="0.2">
      <c r="A7">
        <v>0.3</v>
      </c>
      <c r="B7" s="5" cm="1">
        <f t="array" aca="1" ref="B7" ca="1">INDIRECT("'EQ1_"&amp;A7&amp;"'!B10")</f>
        <v>128.1</v>
      </c>
      <c r="C7" s="5" cm="1">
        <f t="array" aca="1" ref="C7" ca="1">INDIRECT("'EQ1_"&amp;A7&amp;"'!B11")</f>
        <v>17.571757643066501</v>
      </c>
      <c r="D7" s="5">
        <f t="shared" ca="1" si="1"/>
        <v>163.243515286133</v>
      </c>
      <c r="E7" s="5">
        <f t="shared" ca="1" si="0"/>
        <v>75.385694971749601</v>
      </c>
      <c r="F7">
        <f t="shared" ca="1" si="2"/>
        <v>13</v>
      </c>
    </row>
    <row r="8" spans="1:6" x14ac:dyDescent="0.2">
      <c r="A8">
        <v>0.35</v>
      </c>
      <c r="B8" s="5" cm="1">
        <f t="array" aca="1" ref="B8" ca="1">INDIRECT("'EQ1_"&amp;A8&amp;"'!B10")</f>
        <v>107.9</v>
      </c>
      <c r="C8" s="5" cm="1">
        <f t="array" aca="1" ref="C8" ca="1">INDIRECT("'EQ1_"&amp;A8&amp;"'!B11")</f>
        <v>18.882384501022212</v>
      </c>
      <c r="D8" s="5">
        <f t="shared" ca="1" si="1"/>
        <v>145.66476900204444</v>
      </c>
      <c r="E8" s="5">
        <f t="shared" ca="1" si="0"/>
        <v>79.338161931369171</v>
      </c>
      <c r="F8">
        <f t="shared" ca="1" si="2"/>
        <v>12</v>
      </c>
    </row>
    <row r="9" spans="1:6" x14ac:dyDescent="0.2">
      <c r="A9">
        <v>0.4</v>
      </c>
      <c r="B9" s="5" cm="1">
        <f t="array" aca="1" ref="B9" ca="1">INDIRECT("'EQ1_"&amp;A9&amp;"'!B10")</f>
        <v>105</v>
      </c>
      <c r="C9" s="5" cm="1">
        <f t="array" aca="1" ref="C9" ca="1">INDIRECT("'EQ1_"&amp;A9&amp;"'!B11")</f>
        <v>13.662601021279464</v>
      </c>
      <c r="D9" s="5">
        <f t="shared" ca="1" si="1"/>
        <v>132.32520204255894</v>
      </c>
      <c r="E9" s="5">
        <f t="shared" ca="1" si="0"/>
        <v>82.337476945701155</v>
      </c>
      <c r="F9">
        <f t="shared" ca="1" si="2"/>
        <v>11</v>
      </c>
    </row>
    <row r="10" spans="1:6" x14ac:dyDescent="0.2">
      <c r="A10">
        <v>0.45</v>
      </c>
      <c r="B10" s="5" cm="1">
        <f t="array" aca="1" ref="B10" ca="1">INDIRECT("'EQ1_"&amp;A10&amp;"'!B10")</f>
        <v>86</v>
      </c>
      <c r="C10" s="5" cm="1">
        <f t="array" aca="1" ref="C10" ca="1">INDIRECT("'EQ1_"&amp;A10&amp;"'!B11")</f>
        <v>11.925695879998878</v>
      </c>
      <c r="D10" s="5">
        <f t="shared" ca="1" si="1"/>
        <v>109.85139175999775</v>
      </c>
      <c r="E10" s="5">
        <f t="shared" ca="1" si="0"/>
        <v>87.390567260735935</v>
      </c>
      <c r="F10">
        <f t="shared" ca="1" si="2"/>
        <v>10</v>
      </c>
    </row>
    <row r="11" spans="1:6" x14ac:dyDescent="0.2">
      <c r="A11">
        <v>0.5</v>
      </c>
      <c r="B11" s="5" cm="1">
        <f t="array" aca="1" ref="B11" ca="1">INDIRECT("'EQ1_"&amp;A11&amp;"'!B10")</f>
        <v>82.3</v>
      </c>
      <c r="C11" s="5" cm="1">
        <f t="array" aca="1" ref="C11" ca="1">INDIRECT("'EQ1_"&amp;A11&amp;"'!B11")</f>
        <v>10.15491123655066</v>
      </c>
      <c r="D11" s="5">
        <f t="shared" ca="1" si="1"/>
        <v>102.60982247310132</v>
      </c>
      <c r="E11" s="5">
        <f t="shared" ca="1" si="0"/>
        <v>89.018787093919443</v>
      </c>
      <c r="F11">
        <f t="shared" ca="1" si="2"/>
        <v>9</v>
      </c>
    </row>
    <row r="12" spans="1:6" x14ac:dyDescent="0.2">
      <c r="A12">
        <v>0.55000000000000004</v>
      </c>
      <c r="B12" s="5" cm="1">
        <f t="array" aca="1" ref="B12" ca="1">INDIRECT("'EQ1_"&amp;A12&amp;"'!B10")</f>
        <v>71.400000000000006</v>
      </c>
      <c r="C12" s="5" cm="1">
        <f t="array" aca="1" ref="C12" ca="1">INDIRECT("'EQ1_"&amp;A12&amp;"'!B11")</f>
        <v>11.890238760335215</v>
      </c>
      <c r="D12" s="5">
        <f t="shared" ca="1" si="1"/>
        <v>95.180477520670436</v>
      </c>
      <c r="E12" s="5">
        <f t="shared" ca="1" si="0"/>
        <v>90.689227066232974</v>
      </c>
      <c r="F12">
        <f t="shared" ca="1" si="2"/>
        <v>8</v>
      </c>
    </row>
    <row r="13" spans="1:6" x14ac:dyDescent="0.2">
      <c r="A13">
        <v>0.6</v>
      </c>
      <c r="B13" s="5" cm="1">
        <f t="array" aca="1" ref="B13" ca="1">INDIRECT("'EQ1_"&amp;A13&amp;"'!B10")</f>
        <v>67.599999999999994</v>
      </c>
      <c r="C13" s="5" cm="1">
        <f t="array" aca="1" ref="C13" ca="1">INDIRECT("'EQ1_"&amp;A13&amp;"'!B11")</f>
        <v>6.769211344183474</v>
      </c>
      <c r="D13" s="5">
        <f t="shared" ca="1" si="1"/>
        <v>81.138422688366944</v>
      </c>
      <c r="E13" s="5">
        <f t="shared" ca="1" si="0"/>
        <v>93.846491917372134</v>
      </c>
      <c r="F13">
        <f t="shared" ca="1" si="2"/>
        <v>7</v>
      </c>
    </row>
    <row r="14" spans="1:6" x14ac:dyDescent="0.2">
      <c r="A14">
        <v>0.65</v>
      </c>
      <c r="B14" s="5" cm="1">
        <f t="array" aca="1" ref="B14" ca="1">INDIRECT("'EQ1_"&amp;A14&amp;"'!B10")</f>
        <v>56</v>
      </c>
      <c r="C14" s="5" cm="1">
        <f t="array" aca="1" ref="C14" ca="1">INDIRECT("'EQ1_"&amp;A14&amp;"'!B11")</f>
        <v>8.6794777108610237</v>
      </c>
      <c r="D14" s="5">
        <f t="shared" ca="1" si="1"/>
        <v>73.358955421722044</v>
      </c>
      <c r="E14" s="5">
        <f t="shared" ca="1" si="0"/>
        <v>95.595654618621623</v>
      </c>
      <c r="F14">
        <f t="shared" ca="1" si="2"/>
        <v>5</v>
      </c>
    </row>
    <row r="15" spans="1:6" x14ac:dyDescent="0.2">
      <c r="A15">
        <v>0.7</v>
      </c>
      <c r="B15" s="5" cm="1">
        <f t="array" aca="1" ref="B15" ca="1">INDIRECT("'EQ1_"&amp;A15&amp;"'!B10")</f>
        <v>60</v>
      </c>
      <c r="C15" s="5" cm="1">
        <f t="array" aca="1" ref="C15" ca="1">INDIRECT("'EQ1_"&amp;A15&amp;"'!B11")</f>
        <v>8.6666666666666661</v>
      </c>
      <c r="D15" s="5">
        <f t="shared" ca="1" si="1"/>
        <v>77.333333333333329</v>
      </c>
      <c r="E15" s="5">
        <f t="shared" ca="1" si="0"/>
        <v>94.702041551636057</v>
      </c>
      <c r="F15">
        <f t="shared" ca="1" si="2"/>
        <v>6</v>
      </c>
    </row>
    <row r="16" spans="1:6" x14ac:dyDescent="0.2">
      <c r="A16">
        <v>0.75</v>
      </c>
      <c r="B16" s="5" cm="1">
        <f t="array" aca="1" ref="B16" ca="1">INDIRECT("'EQ1_"&amp;A16&amp;"'!B10")</f>
        <v>54</v>
      </c>
      <c r="C16" s="5" cm="1">
        <f t="array" aca="1" ref="C16" ca="1">INDIRECT("'EQ1_"&amp;A16&amp;"'!B11")</f>
        <v>7.0079320138762133</v>
      </c>
      <c r="D16" s="5">
        <f t="shared" ca="1" si="1"/>
        <v>68.015864027752428</v>
      </c>
      <c r="E16" s="5">
        <f t="shared" ca="1" si="0"/>
        <v>96.79701402478176</v>
      </c>
      <c r="F16">
        <f t="shared" ca="1" si="2"/>
        <v>4</v>
      </c>
    </row>
    <row r="17" spans="1:6" x14ac:dyDescent="0.2">
      <c r="A17">
        <v>0.8</v>
      </c>
      <c r="B17" s="5" cm="1">
        <f t="array" aca="1" ref="B17" ca="1">INDIRECT("'EQ1_"&amp;A17&amp;"'!B10")</f>
        <v>46.8</v>
      </c>
      <c r="C17" s="5" cm="1">
        <f t="array" aca="1" ref="C17" ca="1">INDIRECT("'EQ1_"&amp;A17&amp;"'!B11")</f>
        <v>3.8815804341359033</v>
      </c>
      <c r="D17" s="5">
        <f t="shared" ca="1" si="1"/>
        <v>54.563160868271801</v>
      </c>
      <c r="E17" s="5">
        <f t="shared" ca="1" si="0"/>
        <v>99.82176697906641</v>
      </c>
      <c r="F17">
        <f t="shared" ca="1" si="2"/>
        <v>2</v>
      </c>
    </row>
    <row r="18" spans="1:6" x14ac:dyDescent="0.2">
      <c r="A18">
        <v>0.85</v>
      </c>
      <c r="B18" s="5" cm="1">
        <f t="array" aca="1" ref="B18" ca="1">INDIRECT("'EQ1_"&amp;A18&amp;"'!B10")</f>
        <v>46.4</v>
      </c>
      <c r="C18" s="5" cm="1">
        <f t="array" aca="1" ref="C18" ca="1">INDIRECT("'EQ1_"&amp;A18&amp;"'!B11")</f>
        <v>6.2751715337333955</v>
      </c>
      <c r="D18" s="5">
        <f t="shared" ca="1" si="1"/>
        <v>58.95034306746679</v>
      </c>
      <c r="E18" s="5">
        <f t="shared" ca="1" si="0"/>
        <v>98.835337548439441</v>
      </c>
      <c r="F18">
        <f t="shared" ca="1" si="2"/>
        <v>3</v>
      </c>
    </row>
    <row r="19" spans="1:6" x14ac:dyDescent="0.2">
      <c r="A19">
        <v>0.9</v>
      </c>
      <c r="B19" s="5" cm="1">
        <f t="array" aca="1" ref="B19" ca="1">INDIRECT("'EQ1_"&amp;A19&amp;"'!B10")</f>
        <v>48.5</v>
      </c>
      <c r="C19" s="5" cm="1">
        <f t="array" aca="1" ref="C19" ca="1">INDIRECT("'EQ1_"&amp;A19&amp;"'!B11")</f>
        <v>2.6352313834736494</v>
      </c>
      <c r="D19" s="5">
        <f t="shared" ca="1" si="1"/>
        <v>53.770462766947297</v>
      </c>
      <c r="E19" s="5">
        <f t="shared" ca="1" si="0"/>
        <v>100</v>
      </c>
      <c r="F19">
        <f t="shared" ca="1" si="2"/>
        <v>1</v>
      </c>
    </row>
    <row r="20" spans="1:6" x14ac:dyDescent="0.2">
      <c r="B20" s="5"/>
      <c r="C20" s="5"/>
      <c r="D20" s="5"/>
      <c r="E20" s="5"/>
    </row>
    <row r="21" spans="1:6" x14ac:dyDescent="0.2">
      <c r="A21" s="6"/>
      <c r="B21" s="5"/>
      <c r="C21" s="5"/>
      <c r="D21" s="5"/>
      <c r="E21" s="5"/>
    </row>
    <row r="23" spans="1:6" x14ac:dyDescent="0.2">
      <c r="A23" t="s">
        <v>20</v>
      </c>
      <c r="B23" s="5">
        <f ca="1">MAX(D3:D19)</f>
        <v>498.52424473861385</v>
      </c>
    </row>
    <row r="24" spans="1:6" x14ac:dyDescent="0.2">
      <c r="A24" t="s">
        <v>21</v>
      </c>
      <c r="B24" s="5">
        <f ca="1">MIN(D3:D19)</f>
        <v>53.770462766947297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CB31-B80B-424A-89AA-E3C82ACF5864}">
  <sheetPr codeName="Sheet2"/>
  <dimension ref="A1:K12"/>
  <sheetViews>
    <sheetView workbookViewId="0">
      <selection activeCell="C16" sqref="C16"/>
    </sheetView>
  </sheetViews>
  <sheetFormatPr baseColWidth="10" defaultRowHeight="16" x14ac:dyDescent="0.2"/>
  <cols>
    <col min="1" max="1" width="17.1640625" customWidth="1"/>
    <col min="7" max="7" width="12.33203125" bestFit="1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375</v>
      </c>
      <c r="G3" s="3">
        <v>9.8999999999999994E-5</v>
      </c>
      <c r="H3" s="2">
        <v>1.0448</v>
      </c>
      <c r="I3" s="2">
        <v>1.0915999999999999</v>
      </c>
      <c r="J3" s="2">
        <v>0.91120000000000001</v>
      </c>
      <c r="K3" s="3"/>
    </row>
    <row r="4" spans="1:11" x14ac:dyDescent="0.2">
      <c r="A4" t="s">
        <v>3</v>
      </c>
      <c r="B4">
        <v>1E-4</v>
      </c>
      <c r="E4">
        <v>2</v>
      </c>
      <c r="F4">
        <v>422</v>
      </c>
      <c r="G4" s="3">
        <v>9.8999999999999994E-5</v>
      </c>
      <c r="H4" s="2">
        <v>1.032</v>
      </c>
      <c r="I4" s="2">
        <v>1.0863</v>
      </c>
      <c r="J4" s="2">
        <v>0.90469999999999995</v>
      </c>
      <c r="K4" s="3"/>
    </row>
    <row r="5" spans="1:11" x14ac:dyDescent="0.2">
      <c r="A5" t="s">
        <v>4</v>
      </c>
      <c r="B5">
        <v>0.1</v>
      </c>
      <c r="E5">
        <v>3</v>
      </c>
      <c r="F5">
        <v>367</v>
      </c>
      <c r="G5" s="3">
        <v>9.7999999999999997E-5</v>
      </c>
      <c r="H5" s="2">
        <v>0.98440000000000005</v>
      </c>
      <c r="I5" s="2">
        <v>1.0528</v>
      </c>
      <c r="J5" s="2">
        <v>0.87409999999999999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285</v>
      </c>
      <c r="G6" s="3">
        <v>1E-4</v>
      </c>
      <c r="H6" s="2">
        <v>1.0638000000000001</v>
      </c>
      <c r="I6" s="2">
        <v>1.0591999999999999</v>
      </c>
      <c r="J6" s="2">
        <v>0.89670000000000005</v>
      </c>
      <c r="K6" s="3"/>
    </row>
    <row r="7" spans="1:11" x14ac:dyDescent="0.2">
      <c r="A7" t="s">
        <v>6</v>
      </c>
      <c r="B7">
        <v>0.5</v>
      </c>
      <c r="E7">
        <v>5</v>
      </c>
      <c r="F7">
        <v>191</v>
      </c>
      <c r="G7" s="3">
        <v>1E-4</v>
      </c>
      <c r="H7" s="2">
        <v>1.0219</v>
      </c>
      <c r="I7" s="2">
        <v>1.0854999999999999</v>
      </c>
      <c r="J7" s="2">
        <v>0.9022</v>
      </c>
      <c r="K7" s="3"/>
    </row>
    <row r="8" spans="1:11" x14ac:dyDescent="0.2">
      <c r="A8" t="s">
        <v>7</v>
      </c>
      <c r="B8">
        <v>100</v>
      </c>
      <c r="E8">
        <v>6</v>
      </c>
      <c r="F8">
        <v>380</v>
      </c>
      <c r="G8" s="3">
        <v>9.8999999999999994E-5</v>
      </c>
      <c r="H8" s="2">
        <v>1.0443</v>
      </c>
      <c r="I8" s="2">
        <v>1.0511999999999999</v>
      </c>
      <c r="J8" s="2">
        <v>0.88729999999999998</v>
      </c>
      <c r="K8" s="3"/>
    </row>
    <row r="9" spans="1:11" x14ac:dyDescent="0.2">
      <c r="E9">
        <v>7</v>
      </c>
      <c r="F9">
        <v>384</v>
      </c>
      <c r="G9" s="3">
        <v>9.8999999999999994E-5</v>
      </c>
      <c r="H9" s="2">
        <v>1.01</v>
      </c>
      <c r="I9" s="2">
        <v>1.0676000000000001</v>
      </c>
      <c r="J9" s="2">
        <v>0.88919999999999999</v>
      </c>
      <c r="K9" s="3"/>
    </row>
    <row r="10" spans="1:11" x14ac:dyDescent="0.2">
      <c r="A10" t="s">
        <v>14</v>
      </c>
      <c r="B10" s="5">
        <f>AVERAGE(F3:F12)</f>
        <v>341.8</v>
      </c>
      <c r="E10">
        <v>8</v>
      </c>
      <c r="F10">
        <v>389</v>
      </c>
      <c r="G10" s="3">
        <v>9.7999999999999997E-5</v>
      </c>
      <c r="H10" s="2">
        <v>1.0394000000000001</v>
      </c>
      <c r="I10" s="2">
        <v>1.0814999999999999</v>
      </c>
      <c r="J10" s="2">
        <v>0.90400000000000003</v>
      </c>
      <c r="K10" s="3"/>
    </row>
    <row r="11" spans="1:11" x14ac:dyDescent="0.2">
      <c r="A11" t="s">
        <v>18</v>
      </c>
      <c r="B11" s="5">
        <f>_xlfn.STDEV.S(F3:F12)</f>
        <v>78.362122369306917</v>
      </c>
      <c r="E11">
        <v>9</v>
      </c>
      <c r="F11">
        <v>229</v>
      </c>
      <c r="G11" s="3">
        <v>1E-4</v>
      </c>
      <c r="H11" s="2">
        <v>1.0769</v>
      </c>
      <c r="I11" s="2">
        <v>1.0981000000000001</v>
      </c>
      <c r="J11" s="2">
        <v>0.92159999999999997</v>
      </c>
      <c r="K11" s="3"/>
    </row>
    <row r="12" spans="1:11" x14ac:dyDescent="0.2">
      <c r="E12">
        <v>10</v>
      </c>
      <c r="F12">
        <v>396</v>
      </c>
      <c r="G12" s="3">
        <v>9.7999999999999997E-5</v>
      </c>
      <c r="H12" s="2">
        <v>1.0164</v>
      </c>
      <c r="I12" s="2">
        <v>1.0761000000000001</v>
      </c>
      <c r="J12" s="2">
        <v>0.89559999999999995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1293-7A90-7D46-909D-F3CEA647E18F}">
  <sheetPr codeName="Sheet3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155</v>
      </c>
      <c r="G3" s="3">
        <v>9.8999999999999994E-5</v>
      </c>
      <c r="H3" s="2">
        <v>1.0684499999999999</v>
      </c>
      <c r="I3" s="4">
        <v>1.08667</v>
      </c>
      <c r="J3" s="2">
        <v>0.91310899999999995</v>
      </c>
      <c r="K3" s="3"/>
    </row>
    <row r="4" spans="1:11" x14ac:dyDescent="0.2">
      <c r="A4" t="s">
        <v>3</v>
      </c>
      <c r="B4">
        <v>1E-4</v>
      </c>
      <c r="E4">
        <v>2</v>
      </c>
      <c r="F4">
        <v>283</v>
      </c>
      <c r="G4" s="3">
        <v>9.9176211920062201E-5</v>
      </c>
      <c r="H4" s="2">
        <v>1.0472637833454399</v>
      </c>
      <c r="I4" s="4">
        <v>1.07725316976011</v>
      </c>
      <c r="J4" s="2">
        <v>0.90254876770461501</v>
      </c>
      <c r="K4" s="3"/>
    </row>
    <row r="5" spans="1:11" x14ac:dyDescent="0.2">
      <c r="A5" t="s">
        <v>4</v>
      </c>
      <c r="B5">
        <v>0.15</v>
      </c>
      <c r="E5">
        <v>3</v>
      </c>
      <c r="F5">
        <v>265</v>
      </c>
      <c r="G5" s="3">
        <v>9.7240047728340103E-5</v>
      </c>
      <c r="H5" s="2">
        <v>1.0402367246681199</v>
      </c>
      <c r="I5" s="4">
        <v>1.0715087605308999</v>
      </c>
      <c r="J5" s="2">
        <v>0.89768002378845702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225</v>
      </c>
      <c r="G6" s="3">
        <v>9.9955482243210399E-5</v>
      </c>
      <c r="H6" s="2">
        <v>1.0304791032451699</v>
      </c>
      <c r="I6" s="4">
        <v>1.0949301282555099</v>
      </c>
      <c r="J6" s="2">
        <v>0.90957330567308503</v>
      </c>
      <c r="K6" s="3"/>
    </row>
    <row r="7" spans="1:11" x14ac:dyDescent="0.2">
      <c r="A7" t="s">
        <v>6</v>
      </c>
      <c r="B7">
        <v>0.5</v>
      </c>
      <c r="E7">
        <v>5</v>
      </c>
      <c r="F7">
        <v>184</v>
      </c>
      <c r="G7" s="3">
        <v>9.9974781111086702E-5</v>
      </c>
      <c r="H7" s="2">
        <v>1.0160324366715201</v>
      </c>
      <c r="I7" s="4">
        <v>1.05804038915368</v>
      </c>
      <c r="J7" s="2">
        <v>0.88448314974480302</v>
      </c>
      <c r="K7" s="3"/>
    </row>
    <row r="8" spans="1:11" x14ac:dyDescent="0.2">
      <c r="A8" t="s">
        <v>7</v>
      </c>
      <c r="B8">
        <v>100</v>
      </c>
      <c r="E8">
        <v>6</v>
      </c>
      <c r="F8">
        <v>298</v>
      </c>
      <c r="G8" s="3">
        <v>9.7744767695366795E-5</v>
      </c>
      <c r="H8" s="2">
        <v>1.0518697221365201</v>
      </c>
      <c r="I8" s="4">
        <v>1.0451973777133501</v>
      </c>
      <c r="J8" s="2">
        <v>0.88500032624395497</v>
      </c>
      <c r="K8" s="3"/>
    </row>
    <row r="9" spans="1:11" x14ac:dyDescent="0.2">
      <c r="E9">
        <v>7</v>
      </c>
      <c r="F9">
        <v>275</v>
      </c>
      <c r="G9" s="3">
        <v>9.6064208148493105E-5</v>
      </c>
      <c r="H9" s="2">
        <v>1.05328808187987</v>
      </c>
      <c r="I9" s="4">
        <v>1.08552237330019</v>
      </c>
      <c r="J9" s="2">
        <v>0.90787446684988105</v>
      </c>
      <c r="K9" s="3"/>
    </row>
    <row r="10" spans="1:11" x14ac:dyDescent="0.2">
      <c r="A10" t="s">
        <v>14</v>
      </c>
      <c r="B10" s="5">
        <f>AVERAGE(F3:F12)</f>
        <v>243.3</v>
      </c>
      <c r="E10">
        <v>8</v>
      </c>
      <c r="F10">
        <v>260</v>
      </c>
      <c r="G10" s="3">
        <v>9.5845718382751196E-5</v>
      </c>
      <c r="H10" s="2">
        <v>0.99350755132190904</v>
      </c>
      <c r="I10" s="4">
        <v>1.0843359519373901</v>
      </c>
      <c r="J10" s="2">
        <v>0.89443358899942305</v>
      </c>
      <c r="K10" s="3"/>
    </row>
    <row r="11" spans="1:11" x14ac:dyDescent="0.2">
      <c r="A11" t="s">
        <v>18</v>
      </c>
      <c r="B11" s="5">
        <f>_xlfn.STDEV.S(F3:F12)</f>
        <v>44.986541197216823</v>
      </c>
      <c r="E11">
        <v>9</v>
      </c>
      <c r="F11">
        <v>255</v>
      </c>
      <c r="G11" s="3">
        <v>9.7441106622347606E-5</v>
      </c>
      <c r="H11" s="2">
        <v>1.0207957161800101</v>
      </c>
      <c r="I11" s="4">
        <v>1.0724408791122799</v>
      </c>
      <c r="J11" s="2">
        <v>0.89376079361392602</v>
      </c>
      <c r="K11" s="3"/>
    </row>
    <row r="12" spans="1:11" x14ac:dyDescent="0.2">
      <c r="E12">
        <v>10</v>
      </c>
      <c r="F12">
        <v>233</v>
      </c>
      <c r="G12" s="3">
        <v>9.7719633731734005E-5</v>
      </c>
      <c r="H12" s="2">
        <v>1.04691662313587</v>
      </c>
      <c r="I12" s="4">
        <v>1.0530077868357599</v>
      </c>
      <c r="J12" s="2">
        <v>0.88879965551237505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58E3-6681-FD49-947E-F48B3DA636E1}">
  <sheetPr codeName="Sheet4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214</v>
      </c>
      <c r="G3" s="3">
        <v>9.89847669350307E-5</v>
      </c>
      <c r="H3" s="2">
        <v>1.0207652951449899</v>
      </c>
      <c r="I3" s="4">
        <v>1.04577326540341</v>
      </c>
      <c r="J3" s="2">
        <v>0.87811853031095</v>
      </c>
      <c r="K3" s="3"/>
    </row>
    <row r="4" spans="1:11" x14ac:dyDescent="0.2">
      <c r="A4" t="s">
        <v>3</v>
      </c>
      <c r="B4">
        <v>1E-4</v>
      </c>
      <c r="E4">
        <v>2</v>
      </c>
      <c r="F4">
        <v>177</v>
      </c>
      <c r="G4" s="3">
        <v>9.8393961988131506E-5</v>
      </c>
      <c r="H4" s="2">
        <v>1.00194894965421</v>
      </c>
      <c r="I4" s="4">
        <v>1.07240228201676</v>
      </c>
      <c r="J4" s="2">
        <v>0.88877644983734405</v>
      </c>
      <c r="K4" s="3"/>
    </row>
    <row r="5" spans="1:11" x14ac:dyDescent="0.2">
      <c r="A5" t="s">
        <v>4</v>
      </c>
      <c r="B5">
        <v>0.2</v>
      </c>
      <c r="E5">
        <v>3</v>
      </c>
      <c r="F5">
        <v>194</v>
      </c>
      <c r="G5" s="3">
        <v>9.9343493515238794E-5</v>
      </c>
      <c r="H5" s="2">
        <v>1.0410995684926601</v>
      </c>
      <c r="I5" s="4">
        <v>1.0759272263454001</v>
      </c>
      <c r="J5" s="2">
        <v>0.90084343839403502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227</v>
      </c>
      <c r="G6" s="3">
        <v>9.9934222522483996E-5</v>
      </c>
      <c r="H6" s="2">
        <v>1.02040954987677</v>
      </c>
      <c r="I6" s="4">
        <v>1.07132130669144</v>
      </c>
      <c r="J6" s="2">
        <v>0.89317797309171898</v>
      </c>
      <c r="K6" s="3"/>
    </row>
    <row r="7" spans="1:11" x14ac:dyDescent="0.2">
      <c r="A7" t="s">
        <v>6</v>
      </c>
      <c r="B7">
        <v>0.5</v>
      </c>
      <c r="E7">
        <v>5</v>
      </c>
      <c r="F7">
        <v>226</v>
      </c>
      <c r="G7" s="3">
        <v>9.6374850092172297E-5</v>
      </c>
      <c r="H7" s="2">
        <v>1.0392740170440999</v>
      </c>
      <c r="I7" s="4">
        <v>1.09085868459989</v>
      </c>
      <c r="J7" s="2">
        <v>0.90934519554377802</v>
      </c>
      <c r="K7" s="3"/>
    </row>
    <row r="8" spans="1:11" x14ac:dyDescent="0.2">
      <c r="A8" t="s">
        <v>7</v>
      </c>
      <c r="B8">
        <v>100</v>
      </c>
      <c r="E8">
        <v>6</v>
      </c>
      <c r="F8">
        <v>183</v>
      </c>
      <c r="G8" s="3">
        <v>9.8306137344635993E-5</v>
      </c>
      <c r="H8" s="2">
        <v>1.0260510900408499</v>
      </c>
      <c r="I8" s="4">
        <v>1.0823466165747999</v>
      </c>
      <c r="J8" s="2">
        <v>0.90054190800702805</v>
      </c>
      <c r="K8" s="3"/>
    </row>
    <row r="9" spans="1:11" x14ac:dyDescent="0.2">
      <c r="E9">
        <v>7</v>
      </c>
      <c r="F9">
        <v>162</v>
      </c>
      <c r="G9" s="3">
        <v>9.9607604423143097E-5</v>
      </c>
      <c r="H9" s="2">
        <v>1.0156923431467599</v>
      </c>
      <c r="I9" s="4">
        <v>1.07670869135159</v>
      </c>
      <c r="J9" s="2">
        <v>0.89588527553361696</v>
      </c>
      <c r="K9" s="3"/>
    </row>
    <row r="10" spans="1:11" x14ac:dyDescent="0.2">
      <c r="A10" t="s">
        <v>14</v>
      </c>
      <c r="B10" s="5">
        <f>AVERAGE(F3:F12)</f>
        <v>197.6</v>
      </c>
      <c r="E10">
        <v>8</v>
      </c>
      <c r="F10">
        <v>209</v>
      </c>
      <c r="G10" s="3">
        <v>9.8796052327901297E-5</v>
      </c>
      <c r="H10" s="2">
        <v>1.04353087390391</v>
      </c>
      <c r="I10" s="4">
        <v>1.07672764854883</v>
      </c>
      <c r="J10" s="2">
        <v>0.90138459091048595</v>
      </c>
      <c r="K10" s="3"/>
    </row>
    <row r="11" spans="1:11" x14ac:dyDescent="0.2">
      <c r="A11" t="s">
        <v>18</v>
      </c>
      <c r="B11" s="5">
        <f>_xlfn.STDEV.S(F3:F12)</f>
        <v>22.217110523198162</v>
      </c>
      <c r="E11">
        <v>9</v>
      </c>
      <c r="F11">
        <v>206</v>
      </c>
      <c r="G11" s="3">
        <v>9.98902734560166E-5</v>
      </c>
      <c r="H11" s="2">
        <v>1.0536409167857399</v>
      </c>
      <c r="I11" s="4">
        <v>1.0903959633995199</v>
      </c>
      <c r="J11" s="2">
        <v>0.91201462507470998</v>
      </c>
      <c r="K11" s="3"/>
    </row>
    <row r="12" spans="1:11" x14ac:dyDescent="0.2">
      <c r="E12">
        <v>10</v>
      </c>
      <c r="F12">
        <v>178</v>
      </c>
      <c r="G12" s="3">
        <v>9.8512820506149306E-5</v>
      </c>
      <c r="H12" s="2">
        <v>1.06425919770003</v>
      </c>
      <c r="I12" s="4">
        <v>1.07564100623769</v>
      </c>
      <c r="J12" s="2">
        <v>0.90523548433828205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6CAE-633D-B540-9A94-C4CE44AECEA5}">
  <sheetPr codeName="Sheet5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118</v>
      </c>
      <c r="G3" s="3">
        <v>9.8744335248696305E-5</v>
      </c>
      <c r="H3" s="2">
        <v>1.0256867578653599</v>
      </c>
      <c r="I3" s="4">
        <v>1.0730988057792601</v>
      </c>
      <c r="J3" s="2">
        <v>0.89545649811063999</v>
      </c>
      <c r="K3" s="3"/>
    </row>
    <row r="4" spans="1:11" x14ac:dyDescent="0.2">
      <c r="A4" t="s">
        <v>3</v>
      </c>
      <c r="B4">
        <v>1E-4</v>
      </c>
      <c r="E4">
        <v>2</v>
      </c>
      <c r="F4">
        <v>123</v>
      </c>
      <c r="G4" s="3">
        <v>9.9156453732701405E-5</v>
      </c>
      <c r="H4" s="2">
        <v>1.0509192162633501</v>
      </c>
      <c r="I4" s="4">
        <v>1.0767073255127799</v>
      </c>
      <c r="J4" s="2">
        <v>0.90306782255957896</v>
      </c>
      <c r="K4" s="3"/>
    </row>
    <row r="5" spans="1:11" x14ac:dyDescent="0.2">
      <c r="A5" t="s">
        <v>4</v>
      </c>
      <c r="B5">
        <v>0.25</v>
      </c>
      <c r="E5">
        <v>3</v>
      </c>
      <c r="F5">
        <v>160</v>
      </c>
      <c r="G5" s="3">
        <v>9.8778326649207502E-5</v>
      </c>
      <c r="H5" s="2">
        <v>1.0297728580219001</v>
      </c>
      <c r="I5" s="4">
        <v>1.0799395455418599</v>
      </c>
      <c r="J5" s="2">
        <v>0.90010058678564198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119</v>
      </c>
      <c r="G6" s="3">
        <v>9.8698746739587194E-5</v>
      </c>
      <c r="H6" s="2">
        <v>1.0357458728314901</v>
      </c>
      <c r="I6" s="4">
        <v>1.0837035459250499</v>
      </c>
      <c r="J6" s="2">
        <v>0.90293762100960695</v>
      </c>
      <c r="K6" s="3"/>
    </row>
    <row r="7" spans="1:11" x14ac:dyDescent="0.2">
      <c r="A7" t="s">
        <v>6</v>
      </c>
      <c r="B7">
        <v>0.5</v>
      </c>
      <c r="E7">
        <v>5</v>
      </c>
      <c r="F7">
        <v>151</v>
      </c>
      <c r="G7" s="3">
        <v>9.6832903887623194E-5</v>
      </c>
      <c r="H7" s="2">
        <v>1.0337837025371901</v>
      </c>
      <c r="I7" s="4">
        <v>1.0640730171719099</v>
      </c>
      <c r="J7" s="2">
        <v>0.891250415131703</v>
      </c>
      <c r="K7" s="3"/>
    </row>
    <row r="8" spans="1:11" x14ac:dyDescent="0.2">
      <c r="A8" t="s">
        <v>7</v>
      </c>
      <c r="B8">
        <v>100</v>
      </c>
      <c r="E8">
        <v>6</v>
      </c>
      <c r="F8">
        <v>164</v>
      </c>
      <c r="G8" s="3">
        <v>9.9825349015576396E-5</v>
      </c>
      <c r="H8" s="2">
        <v>1.0216228808800101</v>
      </c>
      <c r="I8" s="4">
        <v>1.0726323472602499</v>
      </c>
      <c r="J8" s="2">
        <v>0.89491999572192504</v>
      </c>
      <c r="K8" s="3"/>
    </row>
    <row r="9" spans="1:11" x14ac:dyDescent="0.2">
      <c r="E9">
        <v>7</v>
      </c>
      <c r="F9">
        <v>145</v>
      </c>
      <c r="G9" s="3">
        <v>9.6231970965299706E-5</v>
      </c>
      <c r="H9" s="2">
        <v>1.0215263417762901</v>
      </c>
      <c r="I9" s="4">
        <v>1.0864575356521999</v>
      </c>
      <c r="J9" s="2">
        <v>0.902043938654568</v>
      </c>
      <c r="K9" s="3"/>
    </row>
    <row r="10" spans="1:11" x14ac:dyDescent="0.2">
      <c r="A10" t="s">
        <v>14</v>
      </c>
      <c r="B10" s="5">
        <f>AVERAGE(F3:F12)</f>
        <v>147.80000000000001</v>
      </c>
      <c r="E10">
        <v>8</v>
      </c>
      <c r="F10">
        <v>138</v>
      </c>
      <c r="G10" s="3">
        <v>9.9277727069345897E-5</v>
      </c>
      <c r="H10" s="2">
        <v>1.0567348542958299</v>
      </c>
      <c r="I10" s="4">
        <v>1.0525095538725</v>
      </c>
      <c r="J10" s="2">
        <v>0.89004809862363499</v>
      </c>
      <c r="K10" s="3"/>
    </row>
    <row r="11" spans="1:11" x14ac:dyDescent="0.2">
      <c r="A11" t="s">
        <v>18</v>
      </c>
      <c r="B11" s="5">
        <f>_xlfn.STDEV.S(F3:F12)</f>
        <v>23.639890956695318</v>
      </c>
      <c r="E11">
        <v>9</v>
      </c>
      <c r="F11">
        <v>187</v>
      </c>
      <c r="G11" s="3">
        <v>9.8692944633082296E-5</v>
      </c>
      <c r="H11" s="2">
        <v>1.02726296119545</v>
      </c>
      <c r="I11" s="4">
        <v>1.0799241509608899</v>
      </c>
      <c r="J11" s="2">
        <v>0.89953310893418503</v>
      </c>
      <c r="K11" s="3"/>
    </row>
    <row r="12" spans="1:11" x14ac:dyDescent="0.2">
      <c r="E12">
        <v>10</v>
      </c>
      <c r="F12">
        <v>173</v>
      </c>
      <c r="G12" s="3">
        <v>9.9996286337277805E-5</v>
      </c>
      <c r="H12" s="2">
        <v>1.0207981873199901</v>
      </c>
      <c r="I12" s="4">
        <v>1.07511457711405</v>
      </c>
      <c r="J12" s="2">
        <v>0.89558203085532395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3732-A914-EE45-AF4A-F05149807808}">
  <sheetPr codeName="Sheet6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103</v>
      </c>
      <c r="G3" s="3">
        <v>9.8380314582857299E-5</v>
      </c>
      <c r="H3" s="2">
        <v>1.0424157162228</v>
      </c>
      <c r="I3" s="4">
        <v>1.0983318556977799</v>
      </c>
      <c r="J3" s="2">
        <v>0.91388093430044803</v>
      </c>
      <c r="K3" s="3"/>
    </row>
    <row r="4" spans="1:11" x14ac:dyDescent="0.2">
      <c r="A4" t="s">
        <v>3</v>
      </c>
      <c r="B4">
        <v>1E-4</v>
      </c>
      <c r="E4">
        <v>2</v>
      </c>
      <c r="F4">
        <v>131</v>
      </c>
      <c r="G4" s="3">
        <v>9.9970590021043003E-5</v>
      </c>
      <c r="H4" s="2">
        <v>1.0509423708541701</v>
      </c>
      <c r="I4" s="4">
        <v>1.0551976995166501</v>
      </c>
      <c r="J4" s="2">
        <v>0.89079490761672497</v>
      </c>
      <c r="K4" s="3"/>
    </row>
    <row r="5" spans="1:11" x14ac:dyDescent="0.2">
      <c r="A5" t="s">
        <v>4</v>
      </c>
      <c r="B5">
        <v>0.3</v>
      </c>
      <c r="E5">
        <v>3</v>
      </c>
      <c r="F5">
        <v>129</v>
      </c>
      <c r="G5" s="3">
        <v>9.9790193249478694E-5</v>
      </c>
      <c r="H5" s="2">
        <v>1.0239008077288201</v>
      </c>
      <c r="I5" s="4">
        <v>1.0819905049512699</v>
      </c>
      <c r="J5" s="2">
        <v>0.90079830140142503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148</v>
      </c>
      <c r="G6" s="3">
        <v>9.7459003196579398E-5</v>
      </c>
      <c r="H6" s="2">
        <v>1.0198240975387201</v>
      </c>
      <c r="I6" s="4">
        <v>1.08241328142839</v>
      </c>
      <c r="J6" s="2">
        <v>0.89890977174338405</v>
      </c>
      <c r="K6" s="3"/>
    </row>
    <row r="7" spans="1:11" x14ac:dyDescent="0.2">
      <c r="A7" t="s">
        <v>6</v>
      </c>
      <c r="B7">
        <v>0.5</v>
      </c>
      <c r="E7">
        <v>5</v>
      </c>
      <c r="F7">
        <v>112</v>
      </c>
      <c r="G7" s="3">
        <v>9.3509080825606098E-5</v>
      </c>
      <c r="H7" s="2">
        <v>1.0327065254277299</v>
      </c>
      <c r="I7" s="4">
        <v>1.0782913793008699</v>
      </c>
      <c r="J7" s="2">
        <v>0.89842220006243301</v>
      </c>
      <c r="K7" s="3"/>
    </row>
    <row r="8" spans="1:11" x14ac:dyDescent="0.2">
      <c r="A8" t="s">
        <v>7</v>
      </c>
      <c r="B8">
        <v>100</v>
      </c>
      <c r="E8">
        <v>6</v>
      </c>
      <c r="F8">
        <v>121</v>
      </c>
      <c r="G8" s="3">
        <v>9.9850795517792795E-5</v>
      </c>
      <c r="H8" s="2">
        <v>1.0453698365978401</v>
      </c>
      <c r="I8" s="4">
        <v>1.05204188047416</v>
      </c>
      <c r="J8" s="2">
        <v>0.88721549330124605</v>
      </c>
      <c r="K8" s="3"/>
    </row>
    <row r="9" spans="1:11" x14ac:dyDescent="0.2">
      <c r="E9">
        <v>7</v>
      </c>
      <c r="F9">
        <v>134</v>
      </c>
      <c r="G9" s="3">
        <v>9.9669950141320301E-5</v>
      </c>
      <c r="H9" s="2">
        <v>1.01248276153423</v>
      </c>
      <c r="I9" s="4">
        <v>1.0969919533405601</v>
      </c>
      <c r="J9" s="2">
        <v>0.90675119362714396</v>
      </c>
      <c r="K9" s="3"/>
    </row>
    <row r="10" spans="1:11" x14ac:dyDescent="0.2">
      <c r="A10" t="s">
        <v>14</v>
      </c>
      <c r="B10" s="5">
        <f>AVERAGE(F3:F12)</f>
        <v>128.1</v>
      </c>
      <c r="E10">
        <v>8</v>
      </c>
      <c r="F10">
        <v>163</v>
      </c>
      <c r="G10" s="3">
        <v>9.7995730890401803E-5</v>
      </c>
      <c r="H10" s="2">
        <v>1.05550439855789</v>
      </c>
      <c r="I10" s="4">
        <v>1.08217974160238</v>
      </c>
      <c r="J10" s="2">
        <v>0.90643169486358799</v>
      </c>
      <c r="K10" s="3"/>
    </row>
    <row r="11" spans="1:11" x14ac:dyDescent="0.2">
      <c r="A11" t="s">
        <v>18</v>
      </c>
      <c r="B11" s="5">
        <f>_xlfn.STDEV.S(F3:F12)</f>
        <v>17.571757643066501</v>
      </c>
      <c r="E11">
        <v>9</v>
      </c>
      <c r="F11">
        <v>115</v>
      </c>
      <c r="G11" s="3">
        <v>9.9371225370764295E-5</v>
      </c>
      <c r="H11" s="2">
        <v>1.04400744668745</v>
      </c>
      <c r="I11" s="4">
        <v>1.04883559026109</v>
      </c>
      <c r="J11" s="2">
        <v>0.88514879477835195</v>
      </c>
      <c r="K11" s="3"/>
    </row>
    <row r="12" spans="1:11" x14ac:dyDescent="0.2">
      <c r="E12">
        <v>10</v>
      </c>
      <c r="F12">
        <v>125</v>
      </c>
      <c r="G12" s="3">
        <v>9.9033567044325298E-5</v>
      </c>
      <c r="H12" s="2">
        <v>1.05069432781475</v>
      </c>
      <c r="I12" s="4">
        <v>1.0816673059890101</v>
      </c>
      <c r="J12" s="2">
        <v>0.90554323148600002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5CE5-1601-7A4C-B209-380A9D1B7DE0}">
  <sheetPr codeName="Sheet7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133</v>
      </c>
      <c r="G3" s="3">
        <v>9.9795952570925597E-5</v>
      </c>
      <c r="H3" s="2">
        <v>1.0509007635270899</v>
      </c>
      <c r="I3" s="4">
        <v>1.1073784200119601</v>
      </c>
      <c r="J3" s="2">
        <v>0.92148135349988203</v>
      </c>
      <c r="K3" s="3"/>
    </row>
    <row r="4" spans="1:11" x14ac:dyDescent="0.2">
      <c r="A4" t="s">
        <v>3</v>
      </c>
      <c r="B4">
        <v>1E-4</v>
      </c>
      <c r="E4">
        <v>2</v>
      </c>
      <c r="F4">
        <v>114</v>
      </c>
      <c r="G4" s="3">
        <v>9.83237973097643E-5</v>
      </c>
      <c r="H4" s="2">
        <v>1.0378270788335999</v>
      </c>
      <c r="I4" s="4">
        <v>1.1087840931885</v>
      </c>
      <c r="J4" s="2">
        <v>0.91829639769165206</v>
      </c>
      <c r="K4" s="3"/>
    </row>
    <row r="5" spans="1:11" x14ac:dyDescent="0.2">
      <c r="A5" t="s">
        <v>4</v>
      </c>
      <c r="B5">
        <v>0.35</v>
      </c>
      <c r="E5">
        <v>3</v>
      </c>
      <c r="F5">
        <v>92</v>
      </c>
      <c r="G5" s="3">
        <v>9.7163859659191303E-5</v>
      </c>
      <c r="H5" s="2">
        <v>1.0617756375204399</v>
      </c>
      <c r="I5" s="4">
        <v>1.0652061283568199</v>
      </c>
      <c r="J5" s="2">
        <v>0.89747178272684702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113</v>
      </c>
      <c r="G6" s="3">
        <v>9.7026229084448706E-5</v>
      </c>
      <c r="H6" s="2">
        <v>1.0255694955732999</v>
      </c>
      <c r="I6" s="4">
        <v>1.0781401701082001</v>
      </c>
      <c r="J6" s="2">
        <v>0.896777727785251</v>
      </c>
      <c r="K6" s="3"/>
    </row>
    <row r="7" spans="1:11" x14ac:dyDescent="0.2">
      <c r="A7" t="s">
        <v>6</v>
      </c>
      <c r="B7">
        <v>0.5</v>
      </c>
      <c r="E7">
        <v>5</v>
      </c>
      <c r="F7">
        <v>123</v>
      </c>
      <c r="G7" s="3">
        <v>9.7102808789863499E-5</v>
      </c>
      <c r="H7" s="2">
        <v>1.0294902572077</v>
      </c>
      <c r="I7" s="4">
        <v>1.1066029969729501</v>
      </c>
      <c r="J7" s="2">
        <v>0.915129303269415</v>
      </c>
      <c r="K7" s="3"/>
    </row>
    <row r="8" spans="1:11" x14ac:dyDescent="0.2">
      <c r="A8" t="s">
        <v>7</v>
      </c>
      <c r="B8">
        <v>100</v>
      </c>
      <c r="E8">
        <v>6</v>
      </c>
      <c r="F8">
        <v>96</v>
      </c>
      <c r="G8" s="3">
        <v>9.9274272296676294E-5</v>
      </c>
      <c r="H8" s="2">
        <v>1.0347477953721</v>
      </c>
      <c r="I8" s="4">
        <v>1.1074376276619999</v>
      </c>
      <c r="J8" s="2">
        <v>0.91715313216338001</v>
      </c>
      <c r="K8" s="3"/>
    </row>
    <row r="9" spans="1:11" x14ac:dyDescent="0.2">
      <c r="E9">
        <v>7</v>
      </c>
      <c r="F9">
        <v>105</v>
      </c>
      <c r="G9" s="3">
        <v>9.8541327371060304E-5</v>
      </c>
      <c r="H9" s="2">
        <v>1.0261471214503599</v>
      </c>
      <c r="I9" s="4">
        <v>1.09685374908872</v>
      </c>
      <c r="J9" s="2">
        <v>0.90923802032923395</v>
      </c>
      <c r="K9" s="3"/>
    </row>
    <row r="10" spans="1:11" x14ac:dyDescent="0.2">
      <c r="A10" t="s">
        <v>14</v>
      </c>
      <c r="B10" s="5">
        <f>AVERAGE(F3:F12)</f>
        <v>107.9</v>
      </c>
      <c r="E10">
        <v>8</v>
      </c>
      <c r="F10">
        <v>86</v>
      </c>
      <c r="G10" s="3">
        <v>9.7312984789240097E-5</v>
      </c>
      <c r="H10" s="2">
        <v>1.00972684288459</v>
      </c>
      <c r="I10" s="4">
        <v>1.07533921787625</v>
      </c>
      <c r="J10" s="2">
        <v>0.89240171220062203</v>
      </c>
      <c r="K10" s="3"/>
    </row>
    <row r="11" spans="1:11" x14ac:dyDescent="0.2">
      <c r="A11" t="s">
        <v>18</v>
      </c>
      <c r="B11" s="5">
        <f>_xlfn.STDEV.S(F3:F12)</f>
        <v>18.882384501022212</v>
      </c>
      <c r="E11">
        <v>9</v>
      </c>
      <c r="F11">
        <v>135</v>
      </c>
      <c r="G11" s="3">
        <v>9.5729958432624394E-5</v>
      </c>
      <c r="H11" s="2">
        <v>1.03152454264689</v>
      </c>
      <c r="I11" s="4">
        <v>1.0486314213397201</v>
      </c>
      <c r="J11" s="2">
        <v>0.88136015548996505</v>
      </c>
      <c r="K11" s="3"/>
    </row>
    <row r="12" spans="1:11" x14ac:dyDescent="0.2">
      <c r="E12">
        <v>10</v>
      </c>
      <c r="F12">
        <v>82</v>
      </c>
      <c r="G12" s="3">
        <v>9.6854605860892696E-5</v>
      </c>
      <c r="H12" s="2">
        <v>1.0284074320011201</v>
      </c>
      <c r="I12" s="4">
        <v>1.1090265781628801</v>
      </c>
      <c r="J12" s="2">
        <v>0.91521004584236199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8CE9-C4F3-1D4A-BFC4-2BBA3F49CAE3}">
  <sheetPr codeName="Sheet8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2" max="2" width="12.6640625" bestFit="1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127</v>
      </c>
      <c r="G3" s="3">
        <v>9.4557682113862406E-5</v>
      </c>
      <c r="H3" s="2">
        <v>1.03433611556044</v>
      </c>
      <c r="I3" s="4">
        <v>1.0752504134242</v>
      </c>
      <c r="J3" s="2">
        <v>0.89544381969151998</v>
      </c>
      <c r="K3" s="3"/>
    </row>
    <row r="4" spans="1:11" x14ac:dyDescent="0.2">
      <c r="A4" t="s">
        <v>3</v>
      </c>
      <c r="B4">
        <v>1E-4</v>
      </c>
      <c r="E4">
        <v>2</v>
      </c>
      <c r="F4">
        <v>116</v>
      </c>
      <c r="G4" s="3">
        <v>9.3860652513026304E-5</v>
      </c>
      <c r="H4" s="2">
        <v>1.0203618992261501</v>
      </c>
      <c r="I4" s="4">
        <v>1.07417179849874</v>
      </c>
      <c r="J4" s="2">
        <v>0.89224962897900095</v>
      </c>
      <c r="K4" s="3"/>
    </row>
    <row r="5" spans="1:11" x14ac:dyDescent="0.2">
      <c r="A5" t="s">
        <v>4</v>
      </c>
      <c r="B5">
        <v>0.4</v>
      </c>
      <c r="E5">
        <v>3</v>
      </c>
      <c r="F5">
        <v>91</v>
      </c>
      <c r="G5" s="3">
        <v>9.9060388527345499E-5</v>
      </c>
      <c r="H5" s="2">
        <v>1.04101669228628</v>
      </c>
      <c r="I5" s="4">
        <v>1.0908402819310701</v>
      </c>
      <c r="J5" s="2">
        <v>0.90942378278624403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107</v>
      </c>
      <c r="G6" s="3">
        <v>9.8595869869708505E-5</v>
      </c>
      <c r="H6" s="2">
        <v>1.0725092590191601</v>
      </c>
      <c r="I6" s="4">
        <v>1.0804267194149799</v>
      </c>
      <c r="J6" s="2">
        <v>0.90961115607171905</v>
      </c>
      <c r="K6" s="3"/>
    </row>
    <row r="7" spans="1:11" x14ac:dyDescent="0.2">
      <c r="A7" t="s">
        <v>6</v>
      </c>
      <c r="B7">
        <v>0.5</v>
      </c>
      <c r="E7">
        <v>5</v>
      </c>
      <c r="F7">
        <v>85</v>
      </c>
      <c r="G7" s="3">
        <v>9.6328198489407097E-5</v>
      </c>
      <c r="H7" s="2">
        <v>1.03076087058585</v>
      </c>
      <c r="I7" s="4">
        <v>1.0741277681321699</v>
      </c>
      <c r="J7" s="2">
        <v>0.89504081606950303</v>
      </c>
      <c r="K7" s="3"/>
    </row>
    <row r="8" spans="1:11" x14ac:dyDescent="0.2">
      <c r="A8" t="s">
        <v>7</v>
      </c>
      <c r="B8">
        <v>100</v>
      </c>
      <c r="E8">
        <v>6</v>
      </c>
      <c r="F8">
        <v>104</v>
      </c>
      <c r="G8" s="3">
        <v>9.4242285082450807E-5</v>
      </c>
      <c r="H8" s="2">
        <v>1.0161994941155801</v>
      </c>
      <c r="I8" s="4">
        <v>1.0741130706052899</v>
      </c>
      <c r="J8" s="2">
        <v>0.89134242164058497</v>
      </c>
      <c r="K8" s="3"/>
    </row>
    <row r="9" spans="1:11" x14ac:dyDescent="0.2">
      <c r="E9">
        <v>7</v>
      </c>
      <c r="F9">
        <v>94</v>
      </c>
      <c r="G9" s="3">
        <v>9.9075541341215706E-5</v>
      </c>
      <c r="H9" s="2">
        <v>1.0349204317803899</v>
      </c>
      <c r="I9" s="4">
        <v>1.07823385525432</v>
      </c>
      <c r="J9" s="2">
        <v>0.90075266599330295</v>
      </c>
      <c r="K9" s="3"/>
    </row>
    <row r="10" spans="1:11" x14ac:dyDescent="0.2">
      <c r="A10" t="s">
        <v>14</v>
      </c>
      <c r="B10" s="5">
        <f>AVERAGE(F3:F12)</f>
        <v>105</v>
      </c>
      <c r="E10">
        <v>8</v>
      </c>
      <c r="F10">
        <v>100</v>
      </c>
      <c r="G10" s="3">
        <v>9.8323465827441996E-5</v>
      </c>
      <c r="H10" s="2">
        <v>1.04855864805272</v>
      </c>
      <c r="I10" s="4">
        <v>1.0723816510489701</v>
      </c>
      <c r="J10" s="2">
        <v>0.89988108784376097</v>
      </c>
      <c r="K10" s="3"/>
    </row>
    <row r="11" spans="1:11" x14ac:dyDescent="0.2">
      <c r="A11" t="s">
        <v>18</v>
      </c>
      <c r="B11" s="5">
        <f>_xlfn.STDEV.S(F3:F12)</f>
        <v>13.662601021279464</v>
      </c>
      <c r="E11">
        <v>9</v>
      </c>
      <c r="F11">
        <v>103</v>
      </c>
      <c r="G11" s="3">
        <v>9.8904827125516896E-5</v>
      </c>
      <c r="H11" s="2">
        <v>1.0326242248452999</v>
      </c>
      <c r="I11" s="4">
        <v>1.04836738982511</v>
      </c>
      <c r="J11" s="2">
        <v>0.88267465294597003</v>
      </c>
      <c r="K11" s="3"/>
    </row>
    <row r="12" spans="1:11" x14ac:dyDescent="0.2">
      <c r="E12">
        <v>10</v>
      </c>
      <c r="F12">
        <v>123</v>
      </c>
      <c r="G12" s="3">
        <v>9.9492665217411499E-5</v>
      </c>
      <c r="H12" s="2">
        <v>1.06341266446442</v>
      </c>
      <c r="I12" s="4">
        <v>1.07625214200418</v>
      </c>
      <c r="J12" s="2">
        <v>0.90502539716952801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F7E3-E594-FA44-B577-2BC915CC0ECF}">
  <sheetPr codeName="Sheet9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84</v>
      </c>
      <c r="G3" s="3">
        <v>9.5482331031441399E-5</v>
      </c>
      <c r="H3" s="2">
        <v>1.0586341075560901</v>
      </c>
      <c r="I3" s="4">
        <v>1.0586201672661699</v>
      </c>
      <c r="J3" s="2">
        <v>0.891484324594077</v>
      </c>
      <c r="K3" s="3"/>
    </row>
    <row r="4" spans="1:11" x14ac:dyDescent="0.2">
      <c r="A4" t="s">
        <v>3</v>
      </c>
      <c r="B4">
        <v>1E-4</v>
      </c>
      <c r="E4">
        <v>2</v>
      </c>
      <c r="F4">
        <v>74</v>
      </c>
      <c r="G4" s="3">
        <v>9.8491061739524994E-5</v>
      </c>
      <c r="H4" s="2">
        <v>1.03105444745595</v>
      </c>
      <c r="I4" s="4">
        <v>1.0887519598733699</v>
      </c>
      <c r="J4" s="2">
        <v>0.90492689965158801</v>
      </c>
      <c r="K4" s="3"/>
    </row>
    <row r="5" spans="1:11" x14ac:dyDescent="0.2">
      <c r="A5" t="s">
        <v>4</v>
      </c>
      <c r="B5">
        <v>0.45</v>
      </c>
      <c r="E5">
        <v>3</v>
      </c>
      <c r="F5">
        <v>68</v>
      </c>
      <c r="G5" s="3">
        <v>9.7029060630789705E-5</v>
      </c>
      <c r="H5" s="2">
        <v>1.0167454064845201</v>
      </c>
      <c r="I5" s="4">
        <v>1.1108010599853999</v>
      </c>
      <c r="J5" s="2">
        <v>0.91403151331402099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93</v>
      </c>
      <c r="G6" s="3">
        <v>9.8591073783882004E-5</v>
      </c>
      <c r="H6" s="2">
        <v>1.02537869277376</v>
      </c>
      <c r="I6" s="4">
        <v>1.0908998523565401</v>
      </c>
      <c r="J6" s="2">
        <v>0.90523950563306299</v>
      </c>
      <c r="K6" s="3"/>
    </row>
    <row r="7" spans="1:11" x14ac:dyDescent="0.2">
      <c r="A7" t="s">
        <v>6</v>
      </c>
      <c r="B7">
        <v>0.5</v>
      </c>
      <c r="E7">
        <v>5</v>
      </c>
      <c r="F7">
        <v>77</v>
      </c>
      <c r="G7" s="3">
        <v>9.8719355999059999E-5</v>
      </c>
      <c r="H7" s="2">
        <v>1.04095935190561</v>
      </c>
      <c r="I7" s="4">
        <v>1.08386832094301</v>
      </c>
      <c r="J7" s="2">
        <v>0.90379565976041598</v>
      </c>
      <c r="K7" s="3"/>
    </row>
    <row r="8" spans="1:11" x14ac:dyDescent="0.2">
      <c r="A8" t="s">
        <v>7</v>
      </c>
      <c r="B8">
        <v>100</v>
      </c>
      <c r="E8">
        <v>6</v>
      </c>
      <c r="F8">
        <v>96</v>
      </c>
      <c r="G8" s="3">
        <v>9.8181654994214195E-5</v>
      </c>
      <c r="H8" s="2">
        <v>1.0575621392311201</v>
      </c>
      <c r="I8" s="4">
        <v>1.09638942055633</v>
      </c>
      <c r="J8" s="2">
        <v>0.91436676751409296</v>
      </c>
      <c r="K8" s="3"/>
    </row>
    <row r="9" spans="1:11" x14ac:dyDescent="0.2">
      <c r="E9">
        <v>7</v>
      </c>
      <c r="F9">
        <v>80</v>
      </c>
      <c r="G9" s="3">
        <v>9.4493702360319107E-5</v>
      </c>
      <c r="H9" s="2">
        <v>1.0413573353630901</v>
      </c>
      <c r="I9" s="4">
        <v>1.0788850390870901</v>
      </c>
      <c r="J9" s="2">
        <v>0.89997245384326896</v>
      </c>
      <c r="K9" s="3"/>
    </row>
    <row r="10" spans="1:11" x14ac:dyDescent="0.2">
      <c r="A10" t="s">
        <v>14</v>
      </c>
      <c r="B10" s="5">
        <f>AVERAGE(F3:F12)</f>
        <v>86</v>
      </c>
      <c r="E10">
        <v>8</v>
      </c>
      <c r="F10">
        <v>107</v>
      </c>
      <c r="G10" s="3">
        <v>9.8435745521834197E-5</v>
      </c>
      <c r="H10" s="2">
        <v>1.02281010654939</v>
      </c>
      <c r="I10" s="4">
        <v>1.1032522082193299</v>
      </c>
      <c r="J10" s="2">
        <v>0.91040536024885299</v>
      </c>
      <c r="K10" s="3"/>
    </row>
    <row r="11" spans="1:11" x14ac:dyDescent="0.2">
      <c r="A11" t="s">
        <v>18</v>
      </c>
      <c r="B11" s="5">
        <f>_xlfn.STDEV.S(F3:F12)</f>
        <v>11.925695879998878</v>
      </c>
      <c r="E11">
        <v>9</v>
      </c>
      <c r="F11">
        <v>96</v>
      </c>
      <c r="G11" s="3">
        <v>9.93700790753319E-5</v>
      </c>
      <c r="H11" s="2">
        <v>1.0232822263753301</v>
      </c>
      <c r="I11" s="4">
        <v>1.0825058703035599</v>
      </c>
      <c r="J11" s="2">
        <v>0.90001059410108597</v>
      </c>
      <c r="K11" s="3"/>
    </row>
    <row r="12" spans="1:11" x14ac:dyDescent="0.2">
      <c r="E12">
        <v>10</v>
      </c>
      <c r="F12">
        <v>85</v>
      </c>
      <c r="G12" s="3">
        <v>9.9849017351222698E-5</v>
      </c>
      <c r="H12" s="2">
        <v>1.0464822257234201</v>
      </c>
      <c r="I12" s="4">
        <v>1.1152312712978201</v>
      </c>
      <c r="J12" s="2">
        <v>0.92527916503816998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4628-A60A-C749-B6EE-F17E4773C1C9}">
  <sheetPr codeName="Sheet10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69</v>
      </c>
      <c r="G3" s="3">
        <v>9.7920065480357801E-5</v>
      </c>
      <c r="H3" s="2">
        <v>1.0576432587612199</v>
      </c>
      <c r="I3" s="4">
        <v>1.0624762395272001</v>
      </c>
      <c r="J3" s="2">
        <v>0.89646287158245996</v>
      </c>
      <c r="K3" s="3"/>
    </row>
    <row r="4" spans="1:11" x14ac:dyDescent="0.2">
      <c r="A4" t="s">
        <v>3</v>
      </c>
      <c r="B4">
        <v>1E-4</v>
      </c>
      <c r="E4">
        <v>2</v>
      </c>
      <c r="F4">
        <v>79</v>
      </c>
      <c r="G4" s="3">
        <v>9.9344821589269697E-5</v>
      </c>
      <c r="H4" s="2">
        <v>1.0364026500000001</v>
      </c>
      <c r="I4" s="4">
        <v>1.0907630997106801</v>
      </c>
      <c r="J4" s="2">
        <v>0.90754029881494502</v>
      </c>
      <c r="K4" s="3"/>
    </row>
    <row r="5" spans="1:11" x14ac:dyDescent="0.2">
      <c r="A5" t="s">
        <v>4</v>
      </c>
      <c r="B5">
        <v>0.5</v>
      </c>
      <c r="E5">
        <v>3</v>
      </c>
      <c r="F5">
        <v>95</v>
      </c>
      <c r="G5" s="3">
        <v>9.6381671870697001E-5</v>
      </c>
      <c r="H5" s="2">
        <v>1.0190558864363699</v>
      </c>
      <c r="I5" s="4">
        <v>1.09632515858081</v>
      </c>
      <c r="J5" s="2">
        <v>0.90587243513652305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88</v>
      </c>
      <c r="G6" s="3">
        <v>9.8125312034327697E-5</v>
      </c>
      <c r="H6" s="2">
        <v>1.0241223497073899</v>
      </c>
      <c r="I6" s="4">
        <v>1.06238800825742</v>
      </c>
      <c r="J6" s="2">
        <v>0.88758770082385297</v>
      </c>
      <c r="K6" s="3"/>
    </row>
    <row r="7" spans="1:11" x14ac:dyDescent="0.2">
      <c r="A7" t="s">
        <v>6</v>
      </c>
      <c r="B7">
        <v>0.5</v>
      </c>
      <c r="E7">
        <v>5</v>
      </c>
      <c r="F7">
        <v>100</v>
      </c>
      <c r="G7" s="3">
        <v>9.8555717676926901E-5</v>
      </c>
      <c r="H7" s="2">
        <v>1.0275479540196799</v>
      </c>
      <c r="I7" s="4">
        <v>1.09827221713764</v>
      </c>
      <c r="J7" s="2">
        <v>0.90833211403132696</v>
      </c>
      <c r="K7" s="3"/>
    </row>
    <row r="8" spans="1:11" x14ac:dyDescent="0.2">
      <c r="A8" t="s">
        <v>7</v>
      </c>
      <c r="B8">
        <v>100</v>
      </c>
      <c r="E8">
        <v>6</v>
      </c>
      <c r="F8">
        <v>72</v>
      </c>
      <c r="G8" s="3">
        <v>9.6004356125050006E-5</v>
      </c>
      <c r="H8" s="2">
        <v>1.06279967961156</v>
      </c>
      <c r="I8" s="4">
        <v>1.06327394813742</v>
      </c>
      <c r="J8" s="2">
        <v>0.89638342798523296</v>
      </c>
      <c r="K8" s="3"/>
    </row>
    <row r="9" spans="1:11" x14ac:dyDescent="0.2">
      <c r="E9">
        <v>7</v>
      </c>
      <c r="F9">
        <v>75</v>
      </c>
      <c r="G9" s="3">
        <v>9.6141949644073407E-5</v>
      </c>
      <c r="H9" s="2">
        <v>0.99696403283359203</v>
      </c>
      <c r="I9" s="4">
        <v>1.1048232281577799</v>
      </c>
      <c r="J9" s="2">
        <v>0.90489463034181095</v>
      </c>
      <c r="K9" s="3"/>
    </row>
    <row r="10" spans="1:11" x14ac:dyDescent="0.2">
      <c r="A10" t="s">
        <v>14</v>
      </c>
      <c r="B10" s="5">
        <f>AVERAGE(F3:F12)</f>
        <v>82.3</v>
      </c>
      <c r="E10">
        <v>8</v>
      </c>
      <c r="F10">
        <v>88</v>
      </c>
      <c r="G10" s="3">
        <v>9.8828913075673104E-5</v>
      </c>
      <c r="H10" s="2">
        <v>1.0492509547542399</v>
      </c>
      <c r="I10" s="4">
        <v>1.0769148565790001</v>
      </c>
      <c r="J10" s="2">
        <v>0.90143635399085198</v>
      </c>
      <c r="K10" s="3"/>
    </row>
    <row r="11" spans="1:11" x14ac:dyDescent="0.2">
      <c r="A11" t="s">
        <v>18</v>
      </c>
      <c r="B11" s="5">
        <f>_xlfn.STDEV.S(F3:F12)</f>
        <v>10.15491123655066</v>
      </c>
      <c r="E11">
        <v>9</v>
      </c>
      <c r="F11">
        <v>76</v>
      </c>
      <c r="G11" s="3">
        <v>9.9728012472385596E-5</v>
      </c>
      <c r="H11" s="2">
        <v>1.02525623293345</v>
      </c>
      <c r="I11" s="4">
        <v>1.0706014204772401</v>
      </c>
      <c r="J11" s="2">
        <v>0.89206304229168698</v>
      </c>
      <c r="K11" s="3"/>
    </row>
    <row r="12" spans="1:11" x14ac:dyDescent="0.2">
      <c r="E12">
        <v>10</v>
      </c>
      <c r="F12">
        <v>81</v>
      </c>
      <c r="G12" s="3">
        <v>9.44136103246729E-5</v>
      </c>
      <c r="H12" s="2">
        <v>1.02462174280406</v>
      </c>
      <c r="I12" s="4">
        <v>1.0958754017322301</v>
      </c>
      <c r="J12" s="2">
        <v>0.90707024647397905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6E7C-06BB-774F-BCED-A8943406D3CC}">
  <sheetPr codeName="Sheet11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87</v>
      </c>
      <c r="G3" s="3">
        <v>9.9341082120406297E-5</v>
      </c>
      <c r="H3" s="2">
        <v>1.0850482374036301</v>
      </c>
      <c r="I3" s="4">
        <v>1.0666128816867599</v>
      </c>
      <c r="J3" s="2">
        <v>0.90347318533825804</v>
      </c>
      <c r="K3" s="3"/>
    </row>
    <row r="4" spans="1:11" x14ac:dyDescent="0.2">
      <c r="A4" t="s">
        <v>3</v>
      </c>
      <c r="B4">
        <v>1E-4</v>
      </c>
      <c r="E4">
        <v>2</v>
      </c>
      <c r="F4">
        <v>76</v>
      </c>
      <c r="G4" s="3">
        <v>9.9689639233871403E-5</v>
      </c>
      <c r="H4" s="2">
        <v>1.0359372276941801</v>
      </c>
      <c r="I4" s="4">
        <v>1.0842389254773299</v>
      </c>
      <c r="J4" s="2">
        <v>0.90453956184021</v>
      </c>
      <c r="K4" s="3"/>
    </row>
    <row r="5" spans="1:11" x14ac:dyDescent="0.2">
      <c r="A5" t="s">
        <v>4</v>
      </c>
      <c r="B5">
        <v>0.55000000000000004</v>
      </c>
      <c r="E5">
        <v>3</v>
      </c>
      <c r="F5">
        <v>76</v>
      </c>
      <c r="G5" s="3">
        <v>9.7158512686436403E-5</v>
      </c>
      <c r="H5" s="2">
        <v>1.0565115401641301</v>
      </c>
      <c r="I5" s="4">
        <v>1.0716470344417499</v>
      </c>
      <c r="J5" s="2">
        <v>0.89973895443350305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64</v>
      </c>
      <c r="G6" s="3">
        <v>9.5087332017563094E-5</v>
      </c>
      <c r="H6" s="2">
        <v>1.0444864410969401</v>
      </c>
      <c r="I6" s="4">
        <v>1.0553294251302301</v>
      </c>
      <c r="J6" s="2">
        <v>0.88611960038317095</v>
      </c>
      <c r="K6" s="3"/>
    </row>
    <row r="7" spans="1:11" x14ac:dyDescent="0.2">
      <c r="A7" t="s">
        <v>6</v>
      </c>
      <c r="B7">
        <v>0.5</v>
      </c>
      <c r="E7">
        <v>5</v>
      </c>
      <c r="F7">
        <v>82</v>
      </c>
      <c r="G7" s="3">
        <v>9.4094246278900306E-5</v>
      </c>
      <c r="H7" s="2">
        <v>1.0702716060576201</v>
      </c>
      <c r="I7" s="4">
        <v>1.08445009395987</v>
      </c>
      <c r="J7" s="2">
        <v>0.90871104487008203</v>
      </c>
      <c r="K7" s="3"/>
    </row>
    <row r="8" spans="1:11" x14ac:dyDescent="0.2">
      <c r="A8" t="s">
        <v>7</v>
      </c>
      <c r="B8">
        <v>100</v>
      </c>
      <c r="E8">
        <v>6</v>
      </c>
      <c r="F8">
        <v>50</v>
      </c>
      <c r="G8" s="3">
        <v>9.4111213645613307E-5</v>
      </c>
      <c r="H8" s="2">
        <v>1.05696894245941</v>
      </c>
      <c r="I8" s="4">
        <v>1.0589704999728999</v>
      </c>
      <c r="J8" s="2">
        <v>0.89081338037355096</v>
      </c>
      <c r="K8" s="3"/>
    </row>
    <row r="9" spans="1:11" x14ac:dyDescent="0.2">
      <c r="E9">
        <v>7</v>
      </c>
      <c r="F9">
        <v>75</v>
      </c>
      <c r="G9" s="3">
        <v>9.3825740496954299E-5</v>
      </c>
      <c r="H9" s="2">
        <v>1.0664176814467801</v>
      </c>
      <c r="I9" s="4">
        <v>1.06044033313476</v>
      </c>
      <c r="J9" s="2">
        <v>0.89369701041168004</v>
      </c>
      <c r="K9" s="3"/>
    </row>
    <row r="10" spans="1:11" x14ac:dyDescent="0.2">
      <c r="A10" t="s">
        <v>14</v>
      </c>
      <c r="B10" s="5">
        <f>AVERAGE(F3:F12)</f>
        <v>71.400000000000006</v>
      </c>
      <c r="E10">
        <v>8</v>
      </c>
      <c r="F10">
        <v>67</v>
      </c>
      <c r="G10" s="3">
        <v>9.3063651534941802E-5</v>
      </c>
      <c r="H10" s="2">
        <v>1.0422210815044599</v>
      </c>
      <c r="I10" s="4">
        <v>1.08733955405802</v>
      </c>
      <c r="J10" s="2">
        <v>0.90444084633199895</v>
      </c>
      <c r="K10" s="3"/>
    </row>
    <row r="11" spans="1:11" x14ac:dyDescent="0.2">
      <c r="A11" t="s">
        <v>18</v>
      </c>
      <c r="B11" s="5">
        <f>_xlfn.STDEV.S(F3:F12)</f>
        <v>11.890238760335215</v>
      </c>
      <c r="E11">
        <v>9</v>
      </c>
      <c r="F11">
        <v>56</v>
      </c>
      <c r="G11" s="3">
        <v>9.78224015067166E-5</v>
      </c>
      <c r="H11" s="2">
        <v>1.0121076044233199</v>
      </c>
      <c r="I11" s="4">
        <v>1.10190691032794</v>
      </c>
      <c r="J11" s="2">
        <v>0.908133914572264</v>
      </c>
      <c r="K11" s="3"/>
    </row>
    <row r="12" spans="1:11" x14ac:dyDescent="0.2">
      <c r="E12">
        <v>10</v>
      </c>
      <c r="F12">
        <v>81</v>
      </c>
      <c r="G12" s="3">
        <v>9.4000685061743899E-5</v>
      </c>
      <c r="H12" s="2">
        <v>1.03333219137863</v>
      </c>
      <c r="I12" s="4">
        <v>1.07903639764603</v>
      </c>
      <c r="J12" s="2">
        <v>0.89712676151113002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5B55-9B4B-BE4A-917D-77B47FE41478}">
  <sheetPr codeName="Sheet12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69</v>
      </c>
      <c r="G3" s="3">
        <v>9.9327026684015003E-5</v>
      </c>
      <c r="H3" s="2">
        <v>1.0268683311542499</v>
      </c>
      <c r="I3" s="4">
        <v>1.06825389228718</v>
      </c>
      <c r="J3" s="2">
        <v>0.89164704738212797</v>
      </c>
      <c r="K3" s="3"/>
    </row>
    <row r="4" spans="1:11" x14ac:dyDescent="0.2">
      <c r="A4" t="s">
        <v>3</v>
      </c>
      <c r="B4">
        <v>1E-4</v>
      </c>
      <c r="E4">
        <v>2</v>
      </c>
      <c r="F4">
        <v>70</v>
      </c>
      <c r="G4" s="3">
        <v>9.4618382197279895E-5</v>
      </c>
      <c r="H4" s="2">
        <v>1.0190120960820099</v>
      </c>
      <c r="I4" s="4">
        <v>1.0783927654471399</v>
      </c>
      <c r="J4" s="2">
        <v>0.893733904087474</v>
      </c>
      <c r="K4" s="3"/>
    </row>
    <row r="5" spans="1:11" x14ac:dyDescent="0.2">
      <c r="A5" t="s">
        <v>4</v>
      </c>
      <c r="B5">
        <v>0.6</v>
      </c>
      <c r="E5">
        <v>3</v>
      </c>
      <c r="F5">
        <v>73</v>
      </c>
      <c r="G5" s="3">
        <v>9.6471471125962304E-5</v>
      </c>
      <c r="H5" s="2">
        <v>1.06715615818631</v>
      </c>
      <c r="I5" s="4">
        <v>1.0858917147990399</v>
      </c>
      <c r="J5" s="2">
        <v>0.90880994672010496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56</v>
      </c>
      <c r="G6" s="3">
        <v>9.1064464058500903E-5</v>
      </c>
      <c r="H6" s="2">
        <v>1.02369534639811</v>
      </c>
      <c r="I6" s="4">
        <v>1.0885556002794301</v>
      </c>
      <c r="J6" s="2">
        <v>0.899381638503848</v>
      </c>
      <c r="K6" s="3"/>
    </row>
    <row r="7" spans="1:11" x14ac:dyDescent="0.2">
      <c r="A7" t="s">
        <v>6</v>
      </c>
      <c r="B7">
        <v>0.5</v>
      </c>
      <c r="E7">
        <v>5</v>
      </c>
      <c r="F7">
        <v>61</v>
      </c>
      <c r="G7" s="3">
        <v>9.9200609312998005E-5</v>
      </c>
      <c r="H7" s="2">
        <v>1.0313824637673901</v>
      </c>
      <c r="I7" s="4">
        <v>1.0809245754314201</v>
      </c>
      <c r="J7" s="2">
        <v>0.89995082012175898</v>
      </c>
      <c r="K7" s="3"/>
    </row>
    <row r="8" spans="1:11" x14ac:dyDescent="0.2">
      <c r="A8" t="s">
        <v>7</v>
      </c>
      <c r="B8">
        <v>100</v>
      </c>
      <c r="E8">
        <v>6</v>
      </c>
      <c r="F8">
        <v>61</v>
      </c>
      <c r="G8" s="3">
        <v>9.4277721072744393E-5</v>
      </c>
      <c r="H8" s="2">
        <v>0.98868657033020102</v>
      </c>
      <c r="I8" s="4">
        <v>1.0871893973113</v>
      </c>
      <c r="J8" s="2">
        <v>0.89251512926626997</v>
      </c>
      <c r="K8" s="3"/>
    </row>
    <row r="9" spans="1:11" x14ac:dyDescent="0.2">
      <c r="E9">
        <v>7</v>
      </c>
      <c r="F9">
        <v>74</v>
      </c>
      <c r="G9" s="3">
        <v>9.6663674132307207E-5</v>
      </c>
      <c r="H9" s="2">
        <v>1.05654053868633</v>
      </c>
      <c r="I9" s="4">
        <v>1.06759153842904</v>
      </c>
      <c r="J9" s="2">
        <v>0.89656827845037401</v>
      </c>
      <c r="K9" s="3"/>
    </row>
    <row r="10" spans="1:11" x14ac:dyDescent="0.2">
      <c r="A10" t="s">
        <v>14</v>
      </c>
      <c r="B10" s="5">
        <f>AVERAGE(F3:F12)</f>
        <v>67.599999999999994</v>
      </c>
      <c r="E10">
        <v>8</v>
      </c>
      <c r="F10">
        <v>77</v>
      </c>
      <c r="G10" s="3">
        <v>9.9060568269659306E-5</v>
      </c>
      <c r="H10" s="2">
        <v>1.04156302984362</v>
      </c>
      <c r="I10" s="4">
        <v>1.0908966312368999</v>
      </c>
      <c r="J10" s="2">
        <v>0.90833537995429303</v>
      </c>
      <c r="K10" s="3"/>
    </row>
    <row r="11" spans="1:11" x14ac:dyDescent="0.2">
      <c r="A11" t="s">
        <v>18</v>
      </c>
      <c r="B11" s="5">
        <f>_xlfn.STDEV.S(F3:F12)</f>
        <v>6.769211344183474</v>
      </c>
      <c r="E11">
        <v>9</v>
      </c>
      <c r="F11">
        <v>64</v>
      </c>
      <c r="G11" s="3">
        <v>9.6949472479755999E-5</v>
      </c>
      <c r="H11" s="2">
        <v>1.0356965663758999</v>
      </c>
      <c r="I11" s="4">
        <v>1.0903622120373999</v>
      </c>
      <c r="J11" s="2">
        <v>0.90489754384789101</v>
      </c>
      <c r="K11" s="3"/>
    </row>
    <row r="12" spans="1:11" x14ac:dyDescent="0.2">
      <c r="E12">
        <v>10</v>
      </c>
      <c r="F12">
        <v>71</v>
      </c>
      <c r="G12" s="3">
        <v>9.6904697008752601E-5</v>
      </c>
      <c r="H12" s="2">
        <v>1.0436163977063599</v>
      </c>
      <c r="I12" s="4">
        <v>1.0791763586294401</v>
      </c>
      <c r="J12" s="2">
        <v>0.90115748744941804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E1FC-DBF0-7A48-9F7D-EE38A4E00451}">
  <sheetPr codeName="Sheet13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53</v>
      </c>
      <c r="G3" s="3">
        <v>9.6525075319724905E-5</v>
      </c>
      <c r="H3" s="2">
        <v>1.06630009727896</v>
      </c>
      <c r="I3" s="4">
        <v>1.0585635036033501</v>
      </c>
      <c r="J3" s="2">
        <v>0.89240254891705695</v>
      </c>
      <c r="K3" s="3"/>
    </row>
    <row r="4" spans="1:11" x14ac:dyDescent="0.2">
      <c r="A4" t="s">
        <v>3</v>
      </c>
      <c r="B4">
        <v>1E-4</v>
      </c>
      <c r="E4">
        <v>2</v>
      </c>
      <c r="F4">
        <v>37</v>
      </c>
      <c r="G4" s="3">
        <v>9.1308431051444607E-5</v>
      </c>
      <c r="H4" s="2">
        <v>1.04682418588506</v>
      </c>
      <c r="I4" s="4">
        <v>1.08285125408459</v>
      </c>
      <c r="J4" s="2">
        <v>0.90150435993822897</v>
      </c>
      <c r="K4" s="3"/>
    </row>
    <row r="5" spans="1:11" x14ac:dyDescent="0.2">
      <c r="A5" t="s">
        <v>4</v>
      </c>
      <c r="B5">
        <v>0.65</v>
      </c>
      <c r="E5">
        <v>3</v>
      </c>
      <c r="F5">
        <v>58</v>
      </c>
      <c r="G5" s="3">
        <v>9.7538163928183799E-5</v>
      </c>
      <c r="H5" s="2">
        <v>1.0547756398594099</v>
      </c>
      <c r="I5" s="4">
        <v>1.0694672860471399</v>
      </c>
      <c r="J5" s="2">
        <v>0.898150000526582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54</v>
      </c>
      <c r="G6" s="3">
        <v>9.2841050502215895E-5</v>
      </c>
      <c r="H6" s="2">
        <v>1.0507886104965201</v>
      </c>
      <c r="I6" s="4">
        <v>1.0700531171288701</v>
      </c>
      <c r="J6" s="2">
        <v>0.89491288440943695</v>
      </c>
      <c r="K6" s="3"/>
    </row>
    <row r="7" spans="1:11" x14ac:dyDescent="0.2">
      <c r="A7" t="s">
        <v>6</v>
      </c>
      <c r="B7">
        <v>0.5</v>
      </c>
      <c r="E7">
        <v>5</v>
      </c>
      <c r="F7">
        <v>51</v>
      </c>
      <c r="G7" s="3">
        <v>9.97628839338861E-5</v>
      </c>
      <c r="H7" s="2">
        <v>1.0370199966807501</v>
      </c>
      <c r="I7" s="4">
        <v>1.0842412121818601</v>
      </c>
      <c r="J7" s="2">
        <v>0.90226169533845901</v>
      </c>
      <c r="K7" s="3"/>
    </row>
    <row r="8" spans="1:11" x14ac:dyDescent="0.2">
      <c r="A8" t="s">
        <v>7</v>
      </c>
      <c r="B8">
        <v>100</v>
      </c>
      <c r="E8">
        <v>6</v>
      </c>
      <c r="F8">
        <v>67</v>
      </c>
      <c r="G8" s="3">
        <v>9.7829063113868394E-5</v>
      </c>
      <c r="H8" s="2">
        <v>1.0369411649532301</v>
      </c>
      <c r="I8" s="4">
        <v>1.0725821345214901</v>
      </c>
      <c r="J8" s="2">
        <v>0.89544026171394997</v>
      </c>
      <c r="K8" s="3"/>
    </row>
    <row r="9" spans="1:11" x14ac:dyDescent="0.2">
      <c r="E9">
        <v>7</v>
      </c>
      <c r="F9">
        <v>66</v>
      </c>
      <c r="G9" s="3">
        <v>9.5485079480802295E-5</v>
      </c>
      <c r="H9" s="2">
        <v>1.0193027157930901</v>
      </c>
      <c r="I9" s="4">
        <v>1.1039622054674501</v>
      </c>
      <c r="J9" s="2">
        <v>0.90927483067079595</v>
      </c>
      <c r="K9" s="3"/>
    </row>
    <row r="10" spans="1:11" x14ac:dyDescent="0.2">
      <c r="A10" t="s">
        <v>14</v>
      </c>
      <c r="B10" s="5">
        <f>AVERAGE(F3:F12)</f>
        <v>56</v>
      </c>
      <c r="E10">
        <v>8</v>
      </c>
      <c r="F10">
        <v>62</v>
      </c>
      <c r="G10" s="3">
        <v>9.5845114803999005E-5</v>
      </c>
      <c r="H10" s="2">
        <v>1.0029550065747299</v>
      </c>
      <c r="I10" s="4">
        <v>1.0789545080923399</v>
      </c>
      <c r="J10" s="2">
        <v>0.89146442943670301</v>
      </c>
      <c r="K10" s="3"/>
    </row>
    <row r="11" spans="1:11" x14ac:dyDescent="0.2">
      <c r="A11" t="s">
        <v>18</v>
      </c>
      <c r="B11" s="5">
        <f>_xlfn.STDEV.S(F3:F12)</f>
        <v>8.6794777108610237</v>
      </c>
      <c r="E11">
        <v>9</v>
      </c>
      <c r="F11">
        <v>59</v>
      </c>
      <c r="G11" s="3">
        <v>9.9046590432651298E-5</v>
      </c>
      <c r="H11" s="2">
        <v>1.00767054716222</v>
      </c>
      <c r="I11" s="4">
        <v>1.0630370831820899</v>
      </c>
      <c r="J11" s="2">
        <v>0.88352304125248304</v>
      </c>
      <c r="K11" s="3"/>
    </row>
    <row r="12" spans="1:11" x14ac:dyDescent="0.2">
      <c r="E12">
        <v>10</v>
      </c>
      <c r="F12">
        <v>53</v>
      </c>
      <c r="G12" s="3">
        <v>9.9332828459858905E-5</v>
      </c>
      <c r="H12" s="2">
        <v>1.0283502211209601</v>
      </c>
      <c r="I12" s="4">
        <v>1.08001077039996</v>
      </c>
      <c r="J12" s="2">
        <v>0.89799015958732498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3907-4C71-E549-91D6-BF438CE638B5}">
  <sheetPr codeName="Sheet14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64</v>
      </c>
      <c r="G3" s="3">
        <v>9.4554271124638097E-5</v>
      </c>
      <c r="H3" s="2">
        <v>1.0386391124337999</v>
      </c>
      <c r="I3" s="4">
        <v>1.07868606000042</v>
      </c>
      <c r="J3" s="2">
        <v>0.89727761239533799</v>
      </c>
      <c r="K3" s="3"/>
    </row>
    <row r="4" spans="1:11" x14ac:dyDescent="0.2">
      <c r="A4" t="s">
        <v>3</v>
      </c>
      <c r="B4">
        <v>1E-4</v>
      </c>
      <c r="E4">
        <v>2</v>
      </c>
      <c r="F4">
        <v>55</v>
      </c>
      <c r="G4" s="3">
        <v>9.7853185802593403E-5</v>
      </c>
      <c r="H4" s="2">
        <v>1.0423910474317</v>
      </c>
      <c r="I4" s="4">
        <v>1.0669207532309799</v>
      </c>
      <c r="J4" s="2">
        <v>0.89332763890278399</v>
      </c>
      <c r="K4" s="3"/>
    </row>
    <row r="5" spans="1:11" x14ac:dyDescent="0.2">
      <c r="A5" t="s">
        <v>4</v>
      </c>
      <c r="B5">
        <v>0.7</v>
      </c>
      <c r="E5">
        <v>3</v>
      </c>
      <c r="F5">
        <v>64</v>
      </c>
      <c r="G5" s="3">
        <v>9.4997375416657002E-5</v>
      </c>
      <c r="H5" s="2">
        <v>1.0736701631927801</v>
      </c>
      <c r="I5" s="4">
        <v>1.09209237834174</v>
      </c>
      <c r="J5" s="2">
        <v>0.91239378908189706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48</v>
      </c>
      <c r="G6" s="3">
        <v>9.5486842914291195E-5</v>
      </c>
      <c r="H6" s="2">
        <v>1.0191031293106501</v>
      </c>
      <c r="I6" s="4">
        <v>1.0716113415930699</v>
      </c>
      <c r="J6" s="2">
        <v>0.889901188601538</v>
      </c>
      <c r="K6" s="3"/>
    </row>
    <row r="7" spans="1:11" x14ac:dyDescent="0.2">
      <c r="A7" t="s">
        <v>6</v>
      </c>
      <c r="B7">
        <v>0.5</v>
      </c>
      <c r="E7">
        <v>5</v>
      </c>
      <c r="F7">
        <v>44</v>
      </c>
      <c r="G7" s="3">
        <v>9.3791018818854499E-5</v>
      </c>
      <c r="H7" s="2">
        <v>1.0005062114599199</v>
      </c>
      <c r="I7" s="4">
        <v>1.08897555797474</v>
      </c>
      <c r="J7" s="2">
        <v>0.89484338571405497</v>
      </c>
      <c r="K7" s="3"/>
    </row>
    <row r="8" spans="1:11" x14ac:dyDescent="0.2">
      <c r="A8" t="s">
        <v>7</v>
      </c>
      <c r="B8">
        <v>100</v>
      </c>
      <c r="E8">
        <v>6</v>
      </c>
      <c r="F8">
        <v>59</v>
      </c>
      <c r="G8" s="3">
        <v>9.8288982126334501E-5</v>
      </c>
      <c r="H8" s="2">
        <v>1.03507027995812</v>
      </c>
      <c r="I8" s="4">
        <v>1.0880030933425999</v>
      </c>
      <c r="J8" s="2">
        <v>0.90348617014271704</v>
      </c>
      <c r="K8" s="3"/>
    </row>
    <row r="9" spans="1:11" x14ac:dyDescent="0.2">
      <c r="E9">
        <v>7</v>
      </c>
      <c r="F9">
        <v>66</v>
      </c>
      <c r="G9" s="3">
        <v>9.9667359151036906E-5</v>
      </c>
      <c r="H9" s="2">
        <v>1.0401573383040199</v>
      </c>
      <c r="I9" s="4">
        <v>1.0891814618553399</v>
      </c>
      <c r="J9" s="2">
        <v>0.90725422588647298</v>
      </c>
      <c r="K9" s="3"/>
    </row>
    <row r="10" spans="1:11" x14ac:dyDescent="0.2">
      <c r="A10" t="s">
        <v>14</v>
      </c>
      <c r="B10" s="5">
        <f>AVERAGE(F3:F12)</f>
        <v>60</v>
      </c>
      <c r="E10">
        <v>8</v>
      </c>
      <c r="F10">
        <v>69</v>
      </c>
      <c r="G10" s="3">
        <v>9.71059700929335E-5</v>
      </c>
      <c r="H10" s="2">
        <v>1.02556115914301</v>
      </c>
      <c r="I10" s="4">
        <v>1.06007000459778</v>
      </c>
      <c r="J10" s="2">
        <v>0.88488822003650602</v>
      </c>
      <c r="K10" s="3"/>
    </row>
    <row r="11" spans="1:11" x14ac:dyDescent="0.2">
      <c r="A11" t="s">
        <v>18</v>
      </c>
      <c r="B11" s="5">
        <f>_xlfn.STDEV.S(F3:F12)</f>
        <v>8.6666666666666661</v>
      </c>
      <c r="E11">
        <v>9</v>
      </c>
      <c r="F11">
        <v>70</v>
      </c>
      <c r="G11" s="3">
        <v>9.7688832417613806E-5</v>
      </c>
      <c r="H11" s="2">
        <v>1.0411018174622599</v>
      </c>
      <c r="I11" s="4">
        <v>1.0725410302649001</v>
      </c>
      <c r="J11" s="2">
        <v>0.89510537484796304</v>
      </c>
      <c r="K11" s="3"/>
    </row>
    <row r="12" spans="1:11" x14ac:dyDescent="0.2">
      <c r="E12">
        <v>10</v>
      </c>
      <c r="F12">
        <v>61</v>
      </c>
      <c r="G12" s="3">
        <v>9.5759423687614495E-5</v>
      </c>
      <c r="H12" s="2">
        <v>1.03347858351172</v>
      </c>
      <c r="I12" s="4">
        <v>1.0747024959820599</v>
      </c>
      <c r="J12" s="2">
        <v>0.89389418348205496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086F-BCA3-FA48-A070-97BC3051C187}">
  <sheetPr codeName="Sheet15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48</v>
      </c>
      <c r="G3" s="3">
        <v>9.6588924059881203E-5</v>
      </c>
      <c r="H3" s="2">
        <v>1.03237696003188</v>
      </c>
      <c r="I3" s="4">
        <v>1.07723382825859</v>
      </c>
      <c r="J3" s="2">
        <v>0.89633131314204695</v>
      </c>
      <c r="K3" s="3"/>
    </row>
    <row r="4" spans="1:11" x14ac:dyDescent="0.2">
      <c r="A4" t="s">
        <v>3</v>
      </c>
      <c r="B4">
        <v>1E-4</v>
      </c>
      <c r="E4">
        <v>2</v>
      </c>
      <c r="F4">
        <v>53</v>
      </c>
      <c r="G4" s="3">
        <v>9.3171192514417202E-5</v>
      </c>
      <c r="H4" s="2">
        <v>1.0103727248244501</v>
      </c>
      <c r="I4" s="4">
        <v>1.07458227903126</v>
      </c>
      <c r="J4" s="2">
        <v>0.88823806760368795</v>
      </c>
      <c r="K4" s="3"/>
    </row>
    <row r="5" spans="1:11" x14ac:dyDescent="0.2">
      <c r="A5" t="s">
        <v>4</v>
      </c>
      <c r="B5">
        <v>0.75</v>
      </c>
      <c r="E5">
        <v>3</v>
      </c>
      <c r="F5">
        <v>45</v>
      </c>
      <c r="G5" s="3">
        <v>9.7617088314895596E-5</v>
      </c>
      <c r="H5" s="2">
        <v>1.01180493124184</v>
      </c>
      <c r="I5" s="4">
        <v>1.0888666206205799</v>
      </c>
      <c r="J5" s="2">
        <v>0.899085868682722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50</v>
      </c>
      <c r="G6" s="3">
        <v>9.9447859009908098E-5</v>
      </c>
      <c r="H6" s="2">
        <v>1.03592474662481</v>
      </c>
      <c r="I6" s="4">
        <v>1.0837045887804899</v>
      </c>
      <c r="J6" s="2">
        <v>0.90249812987033695</v>
      </c>
      <c r="K6" s="3"/>
    </row>
    <row r="7" spans="1:11" x14ac:dyDescent="0.2">
      <c r="A7" t="s">
        <v>6</v>
      </c>
      <c r="B7">
        <v>0.5</v>
      </c>
      <c r="E7">
        <v>5</v>
      </c>
      <c r="F7">
        <v>62</v>
      </c>
      <c r="G7" s="3">
        <v>9.3764886576389701E-5</v>
      </c>
      <c r="H7" s="2">
        <v>1.0511431658912</v>
      </c>
      <c r="I7" s="4">
        <v>1.0568983813950901</v>
      </c>
      <c r="J7" s="2">
        <v>0.88785167917674201</v>
      </c>
      <c r="K7" s="3"/>
    </row>
    <row r="8" spans="1:11" x14ac:dyDescent="0.2">
      <c r="A8" t="s">
        <v>7</v>
      </c>
      <c r="B8">
        <v>100</v>
      </c>
      <c r="E8">
        <v>6</v>
      </c>
      <c r="F8">
        <v>45</v>
      </c>
      <c r="G8" s="3">
        <v>9.0206175580440307E-5</v>
      </c>
      <c r="H8" s="2">
        <v>1.0528300282446299</v>
      </c>
      <c r="I8" s="4">
        <v>1.0659517848245199</v>
      </c>
      <c r="J8" s="2">
        <v>0.89258575202470103</v>
      </c>
      <c r="K8" s="3"/>
    </row>
    <row r="9" spans="1:11" x14ac:dyDescent="0.2">
      <c r="E9">
        <v>7</v>
      </c>
      <c r="F9">
        <v>58</v>
      </c>
      <c r="G9" s="3">
        <v>9.9592306644355298E-5</v>
      </c>
      <c r="H9" s="2">
        <v>1.01230911692167</v>
      </c>
      <c r="I9" s="4">
        <v>1.0889583304145301</v>
      </c>
      <c r="J9" s="2">
        <v>0.90032060869656405</v>
      </c>
      <c r="K9" s="3"/>
    </row>
    <row r="10" spans="1:11" x14ac:dyDescent="0.2">
      <c r="A10" t="s">
        <v>14</v>
      </c>
      <c r="B10" s="5">
        <f>AVERAGE(F3:F12)</f>
        <v>54</v>
      </c>
      <c r="E10">
        <v>8</v>
      </c>
      <c r="F10">
        <v>65</v>
      </c>
      <c r="G10" s="3">
        <v>9.7179499563574602E-5</v>
      </c>
      <c r="H10" s="2">
        <v>1.04692609947894</v>
      </c>
      <c r="I10" s="4">
        <v>1.0775884022504101</v>
      </c>
      <c r="J10" s="2">
        <v>0.89976209984868605</v>
      </c>
      <c r="K10" s="3"/>
    </row>
    <row r="11" spans="1:11" x14ac:dyDescent="0.2">
      <c r="A11" t="s">
        <v>18</v>
      </c>
      <c r="B11" s="5">
        <f>_xlfn.STDEV.S(F3:F12)</f>
        <v>7.0079320138762133</v>
      </c>
      <c r="E11">
        <v>9</v>
      </c>
      <c r="F11">
        <v>55</v>
      </c>
      <c r="G11" s="3">
        <v>9.7826190652547699E-5</v>
      </c>
      <c r="H11" s="2">
        <v>1.07794894902143</v>
      </c>
      <c r="I11" s="4">
        <v>1.0792749844452301</v>
      </c>
      <c r="J11" s="2">
        <v>0.90817541811075497</v>
      </c>
      <c r="K11" s="3"/>
    </row>
    <row r="12" spans="1:11" x14ac:dyDescent="0.2">
      <c r="E12">
        <v>10</v>
      </c>
      <c r="F12">
        <v>59</v>
      </c>
      <c r="G12" s="3">
        <v>9.4527445343151894E-5</v>
      </c>
      <c r="H12" s="2">
        <v>1.06819978920241</v>
      </c>
      <c r="I12" s="4">
        <v>1.0771815963273701</v>
      </c>
      <c r="J12" s="2">
        <v>0.90399110369846203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65CE-C1AD-0A40-B20B-78AE305ACA7F}">
  <sheetPr codeName="Sheet16"/>
  <dimension ref="A1:K12"/>
  <sheetViews>
    <sheetView workbookViewId="0">
      <selection activeCell="A11" sqref="A11:B11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51</v>
      </c>
      <c r="G3" s="3">
        <v>9.4248824687261795E-5</v>
      </c>
      <c r="H3" s="2">
        <v>1.0206923184238601</v>
      </c>
      <c r="I3" s="4">
        <v>1.07976552319342</v>
      </c>
      <c r="J3" s="2">
        <v>0.89410620977552602</v>
      </c>
      <c r="K3" s="3"/>
    </row>
    <row r="4" spans="1:11" x14ac:dyDescent="0.2">
      <c r="A4" t="s">
        <v>3</v>
      </c>
      <c r="B4">
        <v>1E-4</v>
      </c>
      <c r="E4">
        <v>2</v>
      </c>
      <c r="F4">
        <v>48</v>
      </c>
      <c r="G4" s="3">
        <v>9.7602069433883805E-5</v>
      </c>
      <c r="H4" s="2">
        <v>1.0514360093290001</v>
      </c>
      <c r="I4" s="4">
        <v>1.0618186320111</v>
      </c>
      <c r="J4" s="2">
        <v>0.89165839820936998</v>
      </c>
      <c r="K4" s="3"/>
    </row>
    <row r="5" spans="1:11" x14ac:dyDescent="0.2">
      <c r="A5" t="s">
        <v>4</v>
      </c>
      <c r="B5">
        <v>0.8</v>
      </c>
      <c r="E5">
        <v>3</v>
      </c>
      <c r="F5">
        <v>43</v>
      </c>
      <c r="G5" s="3">
        <v>9.1571019086114397E-5</v>
      </c>
      <c r="H5" s="2">
        <v>1.0228337721181799</v>
      </c>
      <c r="I5" s="4">
        <v>1.07877128661821</v>
      </c>
      <c r="J5" s="2">
        <v>0.89335922196680195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45</v>
      </c>
      <c r="G6" s="3">
        <v>9.3310035889027806E-5</v>
      </c>
      <c r="H6" s="2">
        <v>1.0288281629112901</v>
      </c>
      <c r="I6" s="4">
        <v>1.10769480326837</v>
      </c>
      <c r="J6" s="2">
        <v>0.91274978390055195</v>
      </c>
      <c r="K6" s="3"/>
    </row>
    <row r="7" spans="1:11" x14ac:dyDescent="0.2">
      <c r="A7" t="s">
        <v>6</v>
      </c>
      <c r="B7">
        <v>0.5</v>
      </c>
      <c r="E7">
        <v>5</v>
      </c>
      <c r="F7">
        <v>47</v>
      </c>
      <c r="G7" s="3">
        <v>9.8546694123961706E-5</v>
      </c>
      <c r="H7" s="2">
        <v>1.08088333332816</v>
      </c>
      <c r="I7" s="4">
        <v>1.0508412166529699</v>
      </c>
      <c r="J7" s="2">
        <v>0.89278485288648901</v>
      </c>
      <c r="K7" s="3"/>
    </row>
    <row r="8" spans="1:11" x14ac:dyDescent="0.2">
      <c r="A8" t="s">
        <v>7</v>
      </c>
      <c r="B8">
        <v>100</v>
      </c>
      <c r="E8">
        <v>6</v>
      </c>
      <c r="F8">
        <v>45</v>
      </c>
      <c r="G8" s="3">
        <v>9.1525125749819305E-5</v>
      </c>
      <c r="H8" s="2">
        <v>1.0072234693848301</v>
      </c>
      <c r="I8" s="4">
        <v>1.0861204965996301</v>
      </c>
      <c r="J8" s="2">
        <v>0.89311133733113302</v>
      </c>
      <c r="K8" s="3"/>
    </row>
    <row r="9" spans="1:11" x14ac:dyDescent="0.2">
      <c r="E9">
        <v>7</v>
      </c>
      <c r="F9">
        <v>50</v>
      </c>
      <c r="G9" s="3">
        <v>9.35394134192913E-5</v>
      </c>
      <c r="H9" s="2">
        <v>1.03101392781293</v>
      </c>
      <c r="I9" s="4">
        <v>1.0862423620083099</v>
      </c>
      <c r="J9" s="2">
        <v>0.89949158430820697</v>
      </c>
      <c r="K9" s="3"/>
    </row>
    <row r="10" spans="1:11" x14ac:dyDescent="0.2">
      <c r="A10" t="s">
        <v>14</v>
      </c>
      <c r="B10" s="5">
        <f>AVERAGE(F3:F12)</f>
        <v>46.8</v>
      </c>
      <c r="E10">
        <v>8</v>
      </c>
      <c r="F10">
        <v>46</v>
      </c>
      <c r="G10" s="3">
        <v>9.5809571806658301E-5</v>
      </c>
      <c r="H10" s="2">
        <v>1.03431713132934</v>
      </c>
      <c r="I10" s="4">
        <v>1.0805095952858501</v>
      </c>
      <c r="J10" s="2">
        <v>0.89781494005696205</v>
      </c>
      <c r="K10" s="3"/>
    </row>
    <row r="11" spans="1:11" x14ac:dyDescent="0.2">
      <c r="A11" t="s">
        <v>18</v>
      </c>
      <c r="B11" s="5">
        <f>_xlfn.STDEV.S(F3:F12)</f>
        <v>3.8815804341359033</v>
      </c>
      <c r="E11">
        <v>9</v>
      </c>
      <c r="F11">
        <v>53</v>
      </c>
      <c r="G11" s="3">
        <v>9.0723755110581693E-5</v>
      </c>
      <c r="H11" s="2">
        <v>1.0126862560741401</v>
      </c>
      <c r="I11" s="4">
        <v>1.0802501578183701</v>
      </c>
      <c r="J11" s="2">
        <v>0.891242392559219</v>
      </c>
      <c r="K11" s="3"/>
    </row>
    <row r="12" spans="1:11" x14ac:dyDescent="0.2">
      <c r="E12">
        <v>10</v>
      </c>
      <c r="F12">
        <v>40</v>
      </c>
      <c r="G12" s="3">
        <v>9.8584991736539696E-5</v>
      </c>
      <c r="H12" s="2">
        <v>1.0666449881818201</v>
      </c>
      <c r="I12" s="4">
        <v>1.0826990833180501</v>
      </c>
      <c r="J12" s="2">
        <v>0.90769980178885101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93FF-5E75-3E46-8AE2-07177748EAAC}">
  <sheetPr codeName="Sheet17"/>
  <dimension ref="A1:K12"/>
  <sheetViews>
    <sheetView workbookViewId="0">
      <selection activeCell="B15" sqref="B15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  <col min="11" max="11" width="10.8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38</v>
      </c>
      <c r="G3" s="3">
        <v>9.6383163026799798E-5</v>
      </c>
      <c r="H3" s="2">
        <v>1.0384278268006</v>
      </c>
      <c r="I3" s="4">
        <v>1.0929228058298599</v>
      </c>
      <c r="J3" s="2">
        <v>0.90603672511064504</v>
      </c>
      <c r="K3" s="3"/>
    </row>
    <row r="4" spans="1:11" x14ac:dyDescent="0.2">
      <c r="A4" t="s">
        <v>3</v>
      </c>
      <c r="B4">
        <v>1E-4</v>
      </c>
      <c r="E4">
        <v>2</v>
      </c>
      <c r="F4">
        <v>54</v>
      </c>
      <c r="G4" s="3">
        <v>9.8954899031724095E-5</v>
      </c>
      <c r="H4" s="2">
        <v>1.0469872849359101</v>
      </c>
      <c r="I4" s="4">
        <v>1.06882415985715</v>
      </c>
      <c r="J4" s="2">
        <v>0.89637885263001804</v>
      </c>
      <c r="K4" s="3"/>
    </row>
    <row r="5" spans="1:11" x14ac:dyDescent="0.2">
      <c r="A5" t="s">
        <v>4</v>
      </c>
      <c r="B5">
        <v>0.85</v>
      </c>
      <c r="E5">
        <v>3</v>
      </c>
      <c r="F5">
        <v>49</v>
      </c>
      <c r="G5" s="3">
        <v>9.5761380527550896E-5</v>
      </c>
      <c r="H5" s="2">
        <v>1.0163144331771601</v>
      </c>
      <c r="I5" s="4">
        <v>1.0984917505581999</v>
      </c>
      <c r="J5" s="2">
        <v>0.90392440864509804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47</v>
      </c>
      <c r="G6" s="3">
        <v>9.4779615822558795E-5</v>
      </c>
      <c r="H6" s="2">
        <v>1.05706360739607</v>
      </c>
      <c r="I6" s="4">
        <v>1.08665675764327</v>
      </c>
      <c r="J6" s="2">
        <v>0.90560454868539397</v>
      </c>
      <c r="K6" s="3"/>
    </row>
    <row r="7" spans="1:11" x14ac:dyDescent="0.2">
      <c r="A7" t="s">
        <v>6</v>
      </c>
      <c r="B7">
        <v>0.5</v>
      </c>
      <c r="E7">
        <v>5</v>
      </c>
      <c r="F7">
        <v>52</v>
      </c>
      <c r="G7" s="3">
        <v>9.74702985703329E-5</v>
      </c>
      <c r="H7" s="2">
        <v>1.04580413915495</v>
      </c>
      <c r="I7" s="4">
        <v>1.0868243143333201</v>
      </c>
      <c r="J7" s="2">
        <v>0.90639438854361298</v>
      </c>
      <c r="K7" s="3"/>
    </row>
    <row r="8" spans="1:11" x14ac:dyDescent="0.2">
      <c r="A8" t="s">
        <v>7</v>
      </c>
      <c r="B8">
        <v>100</v>
      </c>
      <c r="E8">
        <v>6</v>
      </c>
      <c r="F8">
        <v>52</v>
      </c>
      <c r="G8" s="3">
        <v>9.6306949114970897E-5</v>
      </c>
      <c r="H8" s="2">
        <v>1.02139287642391</v>
      </c>
      <c r="I8" s="4">
        <v>1.08780755812056</v>
      </c>
      <c r="J8" s="2">
        <v>0.89934933227802505</v>
      </c>
      <c r="K8" s="3"/>
    </row>
    <row r="9" spans="1:11" x14ac:dyDescent="0.2">
      <c r="E9">
        <v>7</v>
      </c>
      <c r="F9">
        <v>37</v>
      </c>
      <c r="G9" s="3">
        <v>9.0938880914595205E-5</v>
      </c>
      <c r="H9" s="2">
        <v>0.99719243593922702</v>
      </c>
      <c r="I9" s="4">
        <v>1.0868371414606599</v>
      </c>
      <c r="J9" s="2">
        <v>0.89140693110222102</v>
      </c>
      <c r="K9" s="3"/>
    </row>
    <row r="10" spans="1:11" x14ac:dyDescent="0.2">
      <c r="A10" t="s">
        <v>14</v>
      </c>
      <c r="B10" s="5">
        <f>AVERAGE(F3:F12)</f>
        <v>46.4</v>
      </c>
      <c r="E10">
        <v>8</v>
      </c>
      <c r="F10">
        <v>39</v>
      </c>
      <c r="G10" s="3">
        <v>9.8163151994990502E-5</v>
      </c>
      <c r="H10" s="2">
        <v>1.00609324282312</v>
      </c>
      <c r="I10" s="4">
        <v>1.0918253177286601</v>
      </c>
      <c r="J10" s="2">
        <v>0.89907345492729895</v>
      </c>
      <c r="K10" s="3"/>
    </row>
    <row r="11" spans="1:11" x14ac:dyDescent="0.2">
      <c r="A11" t="s">
        <v>18</v>
      </c>
      <c r="B11" s="5">
        <f>_xlfn.STDEV.S(F3:F12)</f>
        <v>6.2751715337333955</v>
      </c>
      <c r="E11">
        <v>9</v>
      </c>
      <c r="F11">
        <v>46</v>
      </c>
      <c r="G11" s="3">
        <v>9.8133270600031806E-5</v>
      </c>
      <c r="H11" s="2">
        <v>1.02931104789813</v>
      </c>
      <c r="I11" s="4">
        <v>1.07859812039072</v>
      </c>
      <c r="J11" s="2">
        <v>0.89545007727505199</v>
      </c>
      <c r="K11" s="3"/>
    </row>
    <row r="12" spans="1:11" x14ac:dyDescent="0.2">
      <c r="E12">
        <v>10</v>
      </c>
      <c r="F12">
        <v>50</v>
      </c>
      <c r="G12" s="3">
        <v>9.6246546772124701E-5</v>
      </c>
      <c r="H12" s="2">
        <v>1.04170401683946</v>
      </c>
      <c r="I12" s="4">
        <v>1.06684527376224</v>
      </c>
      <c r="J12" s="2">
        <v>0.89115787532695301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8EED-28EE-6145-A33A-0B65C344EED1}">
  <sheetPr codeName="Sheet18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51</v>
      </c>
      <c r="G3" s="3">
        <v>9.9404797282736006E-5</v>
      </c>
      <c r="H3" s="2">
        <v>1.0446387173398799</v>
      </c>
      <c r="I3" s="4">
        <v>1.0728589040066701</v>
      </c>
      <c r="J3" s="2">
        <v>0.89613709393638197</v>
      </c>
      <c r="K3" s="3"/>
    </row>
    <row r="4" spans="1:11" x14ac:dyDescent="0.2">
      <c r="A4" t="s">
        <v>3</v>
      </c>
      <c r="B4">
        <v>1E-4</v>
      </c>
      <c r="E4">
        <v>2</v>
      </c>
      <c r="F4">
        <v>50</v>
      </c>
      <c r="G4" s="3">
        <v>9.8040146817537704E-5</v>
      </c>
      <c r="H4" s="2">
        <v>1.0399726787047601</v>
      </c>
      <c r="I4" s="4">
        <v>1.09600194481008</v>
      </c>
      <c r="J4" s="2">
        <v>0.90908951521542503</v>
      </c>
      <c r="K4" s="3"/>
    </row>
    <row r="5" spans="1:11" x14ac:dyDescent="0.2">
      <c r="A5" t="s">
        <v>4</v>
      </c>
      <c r="B5">
        <v>0.9</v>
      </c>
      <c r="E5">
        <v>3</v>
      </c>
      <c r="F5">
        <v>47</v>
      </c>
      <c r="G5" s="3">
        <v>9.9994767434236702E-5</v>
      </c>
      <c r="H5" s="2">
        <v>1.0738697348521999</v>
      </c>
      <c r="I5" s="4">
        <v>1.0670187300205201</v>
      </c>
      <c r="J5" s="2">
        <v>0.90076002554275802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48</v>
      </c>
      <c r="G6" s="3">
        <v>9.3072010570447098E-5</v>
      </c>
      <c r="H6" s="2">
        <v>1.02984026439028</v>
      </c>
      <c r="I6" s="4">
        <v>1.0716848025588599</v>
      </c>
      <c r="J6" s="2">
        <v>0.89128667326424804</v>
      </c>
      <c r="K6" s="3"/>
    </row>
    <row r="7" spans="1:11" x14ac:dyDescent="0.2">
      <c r="A7" t="s">
        <v>6</v>
      </c>
      <c r="B7">
        <v>0.5</v>
      </c>
      <c r="E7">
        <v>5</v>
      </c>
      <c r="F7">
        <v>51</v>
      </c>
      <c r="G7" s="3">
        <v>8.9025985025232505E-5</v>
      </c>
      <c r="H7" s="2">
        <v>1.0631877997788799</v>
      </c>
      <c r="I7" s="4">
        <v>1.03173705416912</v>
      </c>
      <c r="J7" s="2">
        <v>0.87310590948983602</v>
      </c>
      <c r="K7" s="3"/>
    </row>
    <row r="8" spans="1:11" x14ac:dyDescent="0.2">
      <c r="A8" t="s">
        <v>7</v>
      </c>
      <c r="B8">
        <v>100</v>
      </c>
      <c r="E8">
        <v>6</v>
      </c>
      <c r="F8">
        <v>45</v>
      </c>
      <c r="G8" s="3">
        <v>9.6550802725133694E-5</v>
      </c>
      <c r="H8" s="2">
        <v>1.0292532774748799</v>
      </c>
      <c r="I8" s="4">
        <v>1.0726694746871099</v>
      </c>
      <c r="J8" s="2">
        <v>0.89132706300277897</v>
      </c>
      <c r="K8" s="3"/>
    </row>
    <row r="9" spans="1:11" x14ac:dyDescent="0.2">
      <c r="E9">
        <v>7</v>
      </c>
      <c r="F9">
        <v>53</v>
      </c>
      <c r="G9" s="3">
        <v>9.4889285054983204E-5</v>
      </c>
      <c r="H9" s="2">
        <v>1.07342184063305</v>
      </c>
      <c r="I9" s="4">
        <v>1.06702579470716</v>
      </c>
      <c r="J9" s="2">
        <v>0.897407539441892</v>
      </c>
      <c r="K9" s="3"/>
    </row>
    <row r="10" spans="1:11" x14ac:dyDescent="0.2">
      <c r="A10" t="s">
        <v>14</v>
      </c>
      <c r="B10" s="5">
        <f>AVERAGE(F3:F12)</f>
        <v>48.5</v>
      </c>
      <c r="E10">
        <v>8</v>
      </c>
      <c r="F10">
        <v>48</v>
      </c>
      <c r="G10" s="3">
        <v>9.6042921739954395E-5</v>
      </c>
      <c r="H10" s="2">
        <v>1.00450999100491</v>
      </c>
      <c r="I10" s="4">
        <v>1.1128873807195601</v>
      </c>
      <c r="J10" s="2">
        <v>0.91021024257455097</v>
      </c>
      <c r="K10" s="3"/>
    </row>
    <row r="11" spans="1:11" x14ac:dyDescent="0.2">
      <c r="A11" t="s">
        <v>18</v>
      </c>
      <c r="B11" s="5">
        <f>_xlfn.STDEV.S(F3:F12)</f>
        <v>2.6352313834736494</v>
      </c>
      <c r="E11">
        <v>9</v>
      </c>
      <c r="F11">
        <v>46</v>
      </c>
      <c r="G11" s="3">
        <v>9.62734519515957E-5</v>
      </c>
      <c r="H11" s="2">
        <v>1.0641711471442199</v>
      </c>
      <c r="I11" s="4">
        <v>1.06314584604425</v>
      </c>
      <c r="J11" s="2">
        <v>0.89423023172230098</v>
      </c>
      <c r="K11" s="3"/>
    </row>
    <row r="12" spans="1:11" x14ac:dyDescent="0.2">
      <c r="E12">
        <v>10</v>
      </c>
      <c r="F12">
        <v>46</v>
      </c>
      <c r="G12" s="3">
        <v>9.1283425274375706E-5</v>
      </c>
      <c r="H12" s="2">
        <v>1.0358389648911199</v>
      </c>
      <c r="I12" s="4">
        <v>1.08018640566184</v>
      </c>
      <c r="J12" s="2">
        <v>0.89552042598077697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E268-EC9B-E142-886C-1D1FDB1BDCD3}">
  <sheetPr codeName="Sheet19"/>
  <dimension ref="A1:K12"/>
  <sheetViews>
    <sheetView workbookViewId="0">
      <selection activeCell="K1" sqref="K1:K104857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44</v>
      </c>
      <c r="G3" s="3">
        <v>9.2088735089410894E-5</v>
      </c>
      <c r="H3" s="2">
        <v>1.0607332564184799</v>
      </c>
      <c r="I3" s="4">
        <v>1.08709538878102</v>
      </c>
      <c r="J3" s="2">
        <v>0.904784948581004</v>
      </c>
      <c r="K3" s="3"/>
    </row>
    <row r="4" spans="1:11" x14ac:dyDescent="0.2">
      <c r="A4" t="s">
        <v>3</v>
      </c>
      <c r="B4">
        <v>1E-4</v>
      </c>
      <c r="E4">
        <v>2</v>
      </c>
      <c r="F4">
        <v>48</v>
      </c>
      <c r="G4" s="3">
        <v>9.8717018673893293E-5</v>
      </c>
      <c r="H4" s="2">
        <v>1.0190213155175101</v>
      </c>
      <c r="I4" s="4">
        <v>1.10740102600526</v>
      </c>
      <c r="J4" s="2">
        <v>0.91157388555955998</v>
      </c>
      <c r="K4" s="3"/>
    </row>
    <row r="5" spans="1:11" x14ac:dyDescent="0.2">
      <c r="A5" t="s">
        <v>4</v>
      </c>
      <c r="B5">
        <v>0.95</v>
      </c>
      <c r="E5">
        <v>3</v>
      </c>
      <c r="F5">
        <v>34</v>
      </c>
      <c r="G5" s="3">
        <v>8.8372432753521196E-5</v>
      </c>
      <c r="H5" s="2">
        <v>1.0485145067102899</v>
      </c>
      <c r="I5" s="4">
        <v>1.08372202748095</v>
      </c>
      <c r="J5" s="2">
        <v>0.90008583583408996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37</v>
      </c>
      <c r="G6" s="3">
        <v>9.6693918294900601E-5</v>
      </c>
      <c r="H6" s="2">
        <v>1.02911434979432</v>
      </c>
      <c r="I6" s="4">
        <v>1.0723134408769299</v>
      </c>
      <c r="J6" s="2">
        <v>0.891544761558413</v>
      </c>
      <c r="K6" s="3"/>
    </row>
    <row r="7" spans="1:11" x14ac:dyDescent="0.2">
      <c r="A7" t="s">
        <v>6</v>
      </c>
      <c r="B7">
        <v>0.5</v>
      </c>
      <c r="E7">
        <v>5</v>
      </c>
      <c r="F7">
        <v>43</v>
      </c>
      <c r="G7" s="3">
        <v>9.2276084704390294E-5</v>
      </c>
      <c r="H7" s="2">
        <v>1.0277742294150101</v>
      </c>
      <c r="I7" s="4">
        <v>1.0882216857588201</v>
      </c>
      <c r="J7" s="2">
        <v>0.89823653299654405</v>
      </c>
      <c r="K7" s="3"/>
    </row>
    <row r="8" spans="1:11" x14ac:dyDescent="0.2">
      <c r="A8" t="s">
        <v>7</v>
      </c>
      <c r="B8">
        <v>100</v>
      </c>
      <c r="E8">
        <v>6</v>
      </c>
      <c r="F8">
        <v>52</v>
      </c>
      <c r="G8" s="3">
        <v>9.6428981539633106E-5</v>
      </c>
      <c r="H8" s="2">
        <v>1.02348102331441</v>
      </c>
      <c r="I8" s="4">
        <v>1.0969449483703899</v>
      </c>
      <c r="J8" s="2">
        <v>0.90551785535598905</v>
      </c>
      <c r="K8" s="3"/>
    </row>
    <row r="9" spans="1:11" x14ac:dyDescent="0.2">
      <c r="E9">
        <v>7</v>
      </c>
      <c r="F9">
        <v>43</v>
      </c>
      <c r="G9" s="3">
        <v>9.0334524909234804E-5</v>
      </c>
      <c r="H9" s="2">
        <v>1.0076671623889499</v>
      </c>
      <c r="I9" s="4">
        <v>1.0904349073525501</v>
      </c>
      <c r="J9" s="2">
        <v>0.89555281470915304</v>
      </c>
      <c r="K9" s="3"/>
    </row>
    <row r="10" spans="1:11" x14ac:dyDescent="0.2">
      <c r="A10" t="s">
        <v>14</v>
      </c>
      <c r="B10" s="5">
        <f>AVERAGE(F3:F12)</f>
        <v>42.6</v>
      </c>
      <c r="E10">
        <v>8</v>
      </c>
      <c r="F10">
        <v>54</v>
      </c>
      <c r="G10" s="3">
        <v>9.1374575506079502E-5</v>
      </c>
      <c r="H10" s="2">
        <v>1.05016016479208</v>
      </c>
      <c r="I10" s="4">
        <v>1.12998618794848</v>
      </c>
      <c r="J10" s="2">
        <v>0.92906384016223498</v>
      </c>
      <c r="K10" s="3"/>
    </row>
    <row r="11" spans="1:11" x14ac:dyDescent="0.2">
      <c r="A11" t="s">
        <v>18</v>
      </c>
      <c r="B11" s="5">
        <f>_xlfn.STDEV.S(F3:F12)</f>
        <v>7.2141835604900297</v>
      </c>
      <c r="E11">
        <v>9</v>
      </c>
      <c r="F11">
        <v>38</v>
      </c>
      <c r="G11" s="3">
        <v>9.9040051342866401E-5</v>
      </c>
      <c r="H11" s="2">
        <v>1.0364725343958501</v>
      </c>
      <c r="I11" s="4">
        <v>1.06548281608753</v>
      </c>
      <c r="J11" s="2">
        <v>0.89031603823739902</v>
      </c>
      <c r="K11" s="3"/>
    </row>
    <row r="12" spans="1:11" x14ac:dyDescent="0.2">
      <c r="E12">
        <v>10</v>
      </c>
      <c r="F12">
        <v>33</v>
      </c>
      <c r="G12" s="3">
        <v>9.9279948332202205E-5</v>
      </c>
      <c r="H12" s="2">
        <v>1.05534986743129</v>
      </c>
      <c r="I12" s="4">
        <v>1.0704437239198901</v>
      </c>
      <c r="J12" s="2">
        <v>0.89834945672143596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B1DF-1F68-A847-AE02-E76FC061DF19}">
  <sheetPr codeName="Sheet20"/>
  <dimension ref="A1:K12"/>
  <sheetViews>
    <sheetView workbookViewId="0">
      <selection activeCell="N9" sqref="N9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39</v>
      </c>
      <c r="G3" s="3">
        <v>9.9978807452670506E-5</v>
      </c>
      <c r="H3" s="2">
        <v>1.0252415983331999</v>
      </c>
      <c r="I3" s="4">
        <v>1.09969152510966</v>
      </c>
      <c r="J3" s="2">
        <v>0.90810294276135095</v>
      </c>
      <c r="K3" s="3"/>
    </row>
    <row r="4" spans="1:11" x14ac:dyDescent="0.2">
      <c r="A4" t="s">
        <v>3</v>
      </c>
      <c r="B4">
        <v>1E-4</v>
      </c>
      <c r="E4">
        <v>2</v>
      </c>
      <c r="F4">
        <v>40</v>
      </c>
      <c r="G4" s="3">
        <v>9.5013886711374905E-5</v>
      </c>
      <c r="H4" s="2">
        <v>1.0623019351755201</v>
      </c>
      <c r="I4" s="4">
        <v>1.0741700637434299</v>
      </c>
      <c r="J4" s="2">
        <v>0.89925343767263199</v>
      </c>
      <c r="K4" s="3"/>
    </row>
    <row r="5" spans="1:11" x14ac:dyDescent="0.2">
      <c r="A5" t="s">
        <v>4</v>
      </c>
      <c r="B5">
        <v>1</v>
      </c>
      <c r="E5">
        <v>3</v>
      </c>
      <c r="F5">
        <v>34</v>
      </c>
      <c r="G5" s="3">
        <v>9.2994774246756698E-5</v>
      </c>
      <c r="H5" s="2">
        <v>1.02924994046056</v>
      </c>
      <c r="I5" s="4">
        <v>1.0862546570342699</v>
      </c>
      <c r="J5" s="2">
        <v>0.89782565222500599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39</v>
      </c>
      <c r="G6" s="3">
        <v>9.7569650819815494E-5</v>
      </c>
      <c r="H6" s="2">
        <v>1.01658965893812</v>
      </c>
      <c r="I6" s="4">
        <v>1.08467878666788</v>
      </c>
      <c r="J6" s="2">
        <v>0.89725707719306402</v>
      </c>
      <c r="K6" s="3"/>
    </row>
    <row r="7" spans="1:11" x14ac:dyDescent="0.2">
      <c r="A7" t="s">
        <v>6</v>
      </c>
      <c r="B7">
        <v>0.5</v>
      </c>
      <c r="E7">
        <v>5</v>
      </c>
      <c r="F7">
        <v>38</v>
      </c>
      <c r="G7" s="3">
        <v>8.9852711359783097E-5</v>
      </c>
      <c r="H7" s="2">
        <v>1.02294058139792</v>
      </c>
      <c r="I7" s="4">
        <v>1.08068296777172</v>
      </c>
      <c r="J7" s="2">
        <v>0.89183978130153396</v>
      </c>
      <c r="K7" s="3"/>
    </row>
    <row r="8" spans="1:11" x14ac:dyDescent="0.2">
      <c r="A8" t="s">
        <v>7</v>
      </c>
      <c r="B8">
        <v>100</v>
      </c>
      <c r="E8">
        <v>6</v>
      </c>
      <c r="F8">
        <v>38</v>
      </c>
      <c r="G8" s="3">
        <v>9.6907758617217397E-5</v>
      </c>
      <c r="H8" s="2">
        <v>1.05541113742683</v>
      </c>
      <c r="I8" s="4">
        <v>1.0835182014832001</v>
      </c>
      <c r="J8" s="2">
        <v>0.903370880885217</v>
      </c>
      <c r="K8" s="3"/>
    </row>
    <row r="9" spans="1:11" x14ac:dyDescent="0.2">
      <c r="E9">
        <v>7</v>
      </c>
      <c r="F9">
        <v>45</v>
      </c>
      <c r="G9" s="3">
        <v>9.47044415634523E-5</v>
      </c>
      <c r="H9" s="2">
        <v>1.0478621469323799</v>
      </c>
      <c r="I9" s="4">
        <v>1.0684952847997</v>
      </c>
      <c r="J9" s="2">
        <v>0.89108526257702303</v>
      </c>
      <c r="K9" s="3"/>
    </row>
    <row r="10" spans="1:11" x14ac:dyDescent="0.2">
      <c r="A10" t="s">
        <v>14</v>
      </c>
      <c r="B10" s="5">
        <f>AVERAGE(F3:F12)</f>
        <v>39.6</v>
      </c>
      <c r="E10">
        <v>8</v>
      </c>
      <c r="F10">
        <v>46</v>
      </c>
      <c r="G10" s="3">
        <v>9.0727935217279501E-5</v>
      </c>
      <c r="H10" s="2">
        <v>1.02721502309652</v>
      </c>
      <c r="I10" s="4">
        <v>1.0792991880227401</v>
      </c>
      <c r="J10" s="2">
        <v>0.89261062181576001</v>
      </c>
      <c r="K10" s="3"/>
    </row>
    <row r="11" spans="1:11" x14ac:dyDescent="0.2">
      <c r="A11" t="s">
        <v>18</v>
      </c>
      <c r="B11" s="5">
        <f>_xlfn.STDEV.S(F3:F12)</f>
        <v>3.5652645218989165</v>
      </c>
      <c r="E11">
        <v>9</v>
      </c>
      <c r="F11">
        <v>40</v>
      </c>
      <c r="G11" s="3">
        <v>9.4555516157237697E-5</v>
      </c>
      <c r="H11" s="2">
        <v>1.04869777662377</v>
      </c>
      <c r="I11" s="4">
        <v>1.0721766340144601</v>
      </c>
      <c r="J11" s="2">
        <v>0.89588663624764497</v>
      </c>
      <c r="K11" s="3"/>
    </row>
    <row r="12" spans="1:11" x14ac:dyDescent="0.2">
      <c r="E12">
        <v>10</v>
      </c>
      <c r="F12">
        <v>37</v>
      </c>
      <c r="G12" s="3">
        <v>9.5169967469216295E-5</v>
      </c>
      <c r="H12" s="2">
        <v>1.0469961048291601</v>
      </c>
      <c r="I12" s="4">
        <v>1.05902667096392</v>
      </c>
      <c r="J12" s="2">
        <v>0.88878238817196098</v>
      </c>
      <c r="K12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EQ1_0,1</vt:lpstr>
      <vt:lpstr>EQ1_0,15</vt:lpstr>
      <vt:lpstr>EQ1_0,2</vt:lpstr>
      <vt:lpstr>EQ1_0,25</vt:lpstr>
      <vt:lpstr>EQ1_0,3</vt:lpstr>
      <vt:lpstr>EQ1_0,35</vt:lpstr>
      <vt:lpstr>EQ1_0,4</vt:lpstr>
      <vt:lpstr>EQ1_0,45</vt:lpstr>
      <vt:lpstr>EQ1_0,5</vt:lpstr>
      <vt:lpstr>EQ1_0,55</vt:lpstr>
      <vt:lpstr>EQ1_0,6</vt:lpstr>
      <vt:lpstr>EQ1_0,65</vt:lpstr>
      <vt:lpstr>EQ1_0,7</vt:lpstr>
      <vt:lpstr>EQ1_0,75</vt:lpstr>
      <vt:lpstr>EQ1_0,8</vt:lpstr>
      <vt:lpstr>EQ1_0,85</vt:lpstr>
      <vt:lpstr>EQ1_0,9</vt:lpstr>
      <vt:lpstr>EQ1_0,95</vt:lpstr>
      <vt:lpstr>EQ1_1,0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Philson</dc:creator>
  <cp:lastModifiedBy>Jeremy Philson</cp:lastModifiedBy>
  <dcterms:created xsi:type="dcterms:W3CDTF">2025-12-06T08:04:30Z</dcterms:created>
  <dcterms:modified xsi:type="dcterms:W3CDTF">2025-12-12T12:20:40Z</dcterms:modified>
</cp:coreProperties>
</file>